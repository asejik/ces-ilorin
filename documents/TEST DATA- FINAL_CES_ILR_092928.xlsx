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ve\Downloads\"/>
    </mc:Choice>
  </mc:AlternateContent>
  <xr:revisionPtr revIDLastSave="0" documentId="13_ncr:1_{7E765FFE-114D-4717-A678-A7B9ADE3FE32}" xr6:coauthVersionLast="36" xr6:coauthVersionMax="36" xr10:uidLastSave="{00000000-0000-0000-0000-000000000000}"/>
  <bookViews>
    <workbookView xWindow="0" yWindow="0" windowWidth="19200" windowHeight="6810" firstSheet="2" activeTab="5" xr2:uid="{00000000-000D-0000-FFFF-FFFF00000000}"/>
  </bookViews>
  <sheets>
    <sheet name="📊 Dashboard" sheetId="1" r:id="rId1"/>
    <sheet name="⚙️ Semester Setup" sheetId="2" r:id="rId2"/>
    <sheet name="🔍 Student Lookup" sheetId="3" r:id="rId3"/>
    <sheet name="👥 All Students" sheetId="4" r:id="rId4"/>
    <sheet name="📝 S1 Quiz" sheetId="5" r:id="rId5"/>
    <sheet name="📄 S1 Exam" sheetId="6" r:id="rId6"/>
    <sheet name="🎓 S1 Results" sheetId="7" r:id="rId7"/>
  </sheets>
  <calcPr calcId="191029"/>
  <extLst>
    <ext uri="GoogleSheetsCustomDataVersion2">
      <go:sheetsCustomData xmlns:go="http://customooxmlschemas.google.com/" r:id="rId11" roundtripDataChecksum="QfEjwo0S+T1meck6sg8bHvr/CFi/0A4GLXQNrELsRcA="/>
    </ext>
  </extLst>
</workbook>
</file>

<file path=xl/calcChain.xml><?xml version="1.0" encoding="utf-8"?>
<calcChain xmlns="http://schemas.openxmlformats.org/spreadsheetml/2006/main">
  <c r="D8" i="7" l="1"/>
  <c r="D9" i="7"/>
  <c r="D10" i="7"/>
  <c r="D11" i="7"/>
  <c r="D12" i="7"/>
  <c r="D13" i="7"/>
  <c r="D14" i="7"/>
  <c r="D15" i="7"/>
  <c r="I118" i="7"/>
  <c r="H118" i="7"/>
  <c r="J118" i="7" s="1"/>
  <c r="E118" i="7"/>
  <c r="D118" i="7"/>
  <c r="C118" i="7"/>
  <c r="B118" i="7"/>
  <c r="I117" i="7"/>
  <c r="H117" i="7"/>
  <c r="J117" i="7" s="1"/>
  <c r="E117" i="7"/>
  <c r="D117" i="7"/>
  <c r="C117" i="7"/>
  <c r="B117" i="7"/>
  <c r="I116" i="7"/>
  <c r="H116" i="7"/>
  <c r="J116" i="7" s="1"/>
  <c r="E116" i="7"/>
  <c r="D116" i="7"/>
  <c r="C116" i="7"/>
  <c r="B116" i="7"/>
  <c r="I115" i="7"/>
  <c r="H115" i="7"/>
  <c r="E115" i="7"/>
  <c r="D115" i="7"/>
  <c r="F115" i="7" s="1"/>
  <c r="C115" i="7"/>
  <c r="B115" i="7"/>
  <c r="I114" i="7"/>
  <c r="H114" i="7"/>
  <c r="E114" i="7"/>
  <c r="D114" i="7"/>
  <c r="C114" i="7"/>
  <c r="B114" i="7"/>
  <c r="I113" i="7"/>
  <c r="H113" i="7"/>
  <c r="J113" i="7" s="1"/>
  <c r="E113" i="7"/>
  <c r="D113" i="7"/>
  <c r="C113" i="7"/>
  <c r="B113" i="7"/>
  <c r="I112" i="7"/>
  <c r="H112" i="7"/>
  <c r="E112" i="7"/>
  <c r="C112" i="7"/>
  <c r="B112" i="7"/>
  <c r="I111" i="7"/>
  <c r="H111" i="7"/>
  <c r="E111" i="7"/>
  <c r="C111" i="7"/>
  <c r="B111" i="7"/>
  <c r="I110" i="7"/>
  <c r="H110" i="7"/>
  <c r="E110" i="7"/>
  <c r="C110" i="7"/>
  <c r="B110" i="7"/>
  <c r="I109" i="7"/>
  <c r="H109" i="7"/>
  <c r="E109" i="7"/>
  <c r="C109" i="7"/>
  <c r="B109" i="7"/>
  <c r="I108" i="7"/>
  <c r="H108" i="7"/>
  <c r="E108" i="7"/>
  <c r="C108" i="7"/>
  <c r="B108" i="7"/>
  <c r="I107" i="7"/>
  <c r="H107" i="7"/>
  <c r="E107" i="7"/>
  <c r="C107" i="7"/>
  <c r="B107" i="7"/>
  <c r="I106" i="7"/>
  <c r="H106" i="7"/>
  <c r="E106" i="7"/>
  <c r="C106" i="7"/>
  <c r="B106" i="7"/>
  <c r="I105" i="7"/>
  <c r="H105" i="7"/>
  <c r="E105" i="7"/>
  <c r="C105" i="7"/>
  <c r="B105" i="7"/>
  <c r="I104" i="7"/>
  <c r="H104" i="7"/>
  <c r="J104" i="7" s="1"/>
  <c r="E104" i="7"/>
  <c r="C104" i="7"/>
  <c r="B104" i="7"/>
  <c r="I103" i="7"/>
  <c r="H103" i="7"/>
  <c r="E103" i="7"/>
  <c r="C103" i="7"/>
  <c r="B103" i="7"/>
  <c r="I102" i="7"/>
  <c r="H102" i="7"/>
  <c r="E102" i="7"/>
  <c r="C102" i="7"/>
  <c r="B102" i="7"/>
  <c r="I101" i="7"/>
  <c r="H101" i="7"/>
  <c r="E101" i="7"/>
  <c r="C101" i="7"/>
  <c r="B101" i="7"/>
  <c r="I100" i="7"/>
  <c r="H100" i="7"/>
  <c r="E100" i="7"/>
  <c r="C100" i="7"/>
  <c r="B100" i="7"/>
  <c r="I99" i="7"/>
  <c r="H99" i="7"/>
  <c r="E99" i="7"/>
  <c r="C99" i="7"/>
  <c r="B99" i="7"/>
  <c r="I98" i="7"/>
  <c r="H98" i="7"/>
  <c r="J98" i="7" s="1"/>
  <c r="E98" i="7"/>
  <c r="C98" i="7"/>
  <c r="B98" i="7"/>
  <c r="I97" i="7"/>
  <c r="H97" i="7"/>
  <c r="E97" i="7"/>
  <c r="C97" i="7"/>
  <c r="B97" i="7"/>
  <c r="I96" i="7"/>
  <c r="H96" i="7"/>
  <c r="E96" i="7"/>
  <c r="C96" i="7"/>
  <c r="B96" i="7"/>
  <c r="I95" i="7"/>
  <c r="H95" i="7"/>
  <c r="E95" i="7"/>
  <c r="C95" i="7"/>
  <c r="B95" i="7"/>
  <c r="I94" i="7"/>
  <c r="H94" i="7"/>
  <c r="E94" i="7"/>
  <c r="C94" i="7"/>
  <c r="B94" i="7"/>
  <c r="I93" i="7"/>
  <c r="H93" i="7"/>
  <c r="E93" i="7"/>
  <c r="C93" i="7"/>
  <c r="B93" i="7"/>
  <c r="I92" i="7"/>
  <c r="H92" i="7"/>
  <c r="E92" i="7"/>
  <c r="C92" i="7"/>
  <c r="B92" i="7"/>
  <c r="I91" i="7"/>
  <c r="H91" i="7"/>
  <c r="E91" i="7"/>
  <c r="C91" i="7"/>
  <c r="B91" i="7"/>
  <c r="I90" i="7"/>
  <c r="H90" i="7"/>
  <c r="E90" i="7"/>
  <c r="C90" i="7"/>
  <c r="B90" i="7"/>
  <c r="I89" i="7"/>
  <c r="H89" i="7"/>
  <c r="E89" i="7"/>
  <c r="C89" i="7"/>
  <c r="B89" i="7"/>
  <c r="I88" i="7"/>
  <c r="H88" i="7"/>
  <c r="E88" i="7"/>
  <c r="C88" i="7"/>
  <c r="B88" i="7"/>
  <c r="I87" i="7"/>
  <c r="H87" i="7"/>
  <c r="E87" i="7"/>
  <c r="C87" i="7"/>
  <c r="B87" i="7"/>
  <c r="I86" i="7"/>
  <c r="H86" i="7"/>
  <c r="E86" i="7"/>
  <c r="C86" i="7"/>
  <c r="B86" i="7"/>
  <c r="I85" i="7"/>
  <c r="H85" i="7"/>
  <c r="E85" i="7"/>
  <c r="C85" i="7"/>
  <c r="B85" i="7"/>
  <c r="I84" i="7"/>
  <c r="H84" i="7"/>
  <c r="E84" i="7"/>
  <c r="C84" i="7"/>
  <c r="B84" i="7"/>
  <c r="I83" i="7"/>
  <c r="H83" i="7"/>
  <c r="E83" i="7"/>
  <c r="C83" i="7"/>
  <c r="B83" i="7"/>
  <c r="I82" i="7"/>
  <c r="H82" i="7"/>
  <c r="E82" i="7"/>
  <c r="C82" i="7"/>
  <c r="B82" i="7"/>
  <c r="I81" i="7"/>
  <c r="H81" i="7"/>
  <c r="E81" i="7"/>
  <c r="C81" i="7"/>
  <c r="B81" i="7"/>
  <c r="I80" i="7"/>
  <c r="H80" i="7"/>
  <c r="E80" i="7"/>
  <c r="C80" i="7"/>
  <c r="B80" i="7"/>
  <c r="I79" i="7"/>
  <c r="H79" i="7"/>
  <c r="E79" i="7"/>
  <c r="C79" i="7"/>
  <c r="B79" i="7"/>
  <c r="I78" i="7"/>
  <c r="H78" i="7"/>
  <c r="E78" i="7"/>
  <c r="C78" i="7"/>
  <c r="B78" i="7"/>
  <c r="I77" i="7"/>
  <c r="H77" i="7"/>
  <c r="E77" i="7"/>
  <c r="C77" i="7"/>
  <c r="B77" i="7"/>
  <c r="I76" i="7"/>
  <c r="H76" i="7"/>
  <c r="E76" i="7"/>
  <c r="C76" i="7"/>
  <c r="B76" i="7"/>
  <c r="I75" i="7"/>
  <c r="H75" i="7"/>
  <c r="E75" i="7"/>
  <c r="C75" i="7"/>
  <c r="B75" i="7"/>
  <c r="I74" i="7"/>
  <c r="H74" i="7"/>
  <c r="E74" i="7"/>
  <c r="C74" i="7"/>
  <c r="B74" i="7"/>
  <c r="I73" i="7"/>
  <c r="H73" i="7"/>
  <c r="E73" i="7"/>
  <c r="C73" i="7"/>
  <c r="B73" i="7"/>
  <c r="I72" i="7"/>
  <c r="H72" i="7"/>
  <c r="E72" i="7"/>
  <c r="C72" i="7"/>
  <c r="B72" i="7"/>
  <c r="I71" i="7"/>
  <c r="H71" i="7"/>
  <c r="E71" i="7"/>
  <c r="C71" i="7"/>
  <c r="B71" i="7"/>
  <c r="I70" i="7"/>
  <c r="H70" i="7"/>
  <c r="E70" i="7"/>
  <c r="C70" i="7"/>
  <c r="B70" i="7"/>
  <c r="I69" i="7"/>
  <c r="H69" i="7"/>
  <c r="E69" i="7"/>
  <c r="C69" i="7"/>
  <c r="B69" i="7"/>
  <c r="I68" i="7"/>
  <c r="H68" i="7"/>
  <c r="E68" i="7"/>
  <c r="C68" i="7"/>
  <c r="B68" i="7"/>
  <c r="I67" i="7"/>
  <c r="H67" i="7"/>
  <c r="E67" i="7"/>
  <c r="C67" i="7"/>
  <c r="B67" i="7"/>
  <c r="I66" i="7"/>
  <c r="H66" i="7"/>
  <c r="E66" i="7"/>
  <c r="C66" i="7"/>
  <c r="B66" i="7"/>
  <c r="I65" i="7"/>
  <c r="H65" i="7"/>
  <c r="E65" i="7"/>
  <c r="C65" i="7"/>
  <c r="B65" i="7"/>
  <c r="I64" i="7"/>
  <c r="H64" i="7"/>
  <c r="E64" i="7"/>
  <c r="C64" i="7"/>
  <c r="B64" i="7"/>
  <c r="I63" i="7"/>
  <c r="H63" i="7"/>
  <c r="E63" i="7"/>
  <c r="C63" i="7"/>
  <c r="B63" i="7"/>
  <c r="I62" i="7"/>
  <c r="H62" i="7"/>
  <c r="E62" i="7"/>
  <c r="C62" i="7"/>
  <c r="B62" i="7"/>
  <c r="I61" i="7"/>
  <c r="H61" i="7"/>
  <c r="E61" i="7"/>
  <c r="C61" i="7"/>
  <c r="B61" i="7"/>
  <c r="I60" i="7"/>
  <c r="H60" i="7"/>
  <c r="J60" i="7" s="1"/>
  <c r="E60" i="7"/>
  <c r="C60" i="7"/>
  <c r="B60" i="7"/>
  <c r="I59" i="7"/>
  <c r="H59" i="7"/>
  <c r="E59" i="7"/>
  <c r="C59" i="7"/>
  <c r="B59" i="7"/>
  <c r="I58" i="7"/>
  <c r="H58" i="7"/>
  <c r="E58" i="7"/>
  <c r="C58" i="7"/>
  <c r="B58" i="7"/>
  <c r="I57" i="7"/>
  <c r="H57" i="7"/>
  <c r="E57" i="7"/>
  <c r="C57" i="7"/>
  <c r="B57" i="7"/>
  <c r="I56" i="7"/>
  <c r="H56" i="7"/>
  <c r="E56" i="7"/>
  <c r="C56" i="7"/>
  <c r="B56" i="7"/>
  <c r="I55" i="7"/>
  <c r="H55" i="7"/>
  <c r="E55" i="7"/>
  <c r="C55" i="7"/>
  <c r="B55" i="7"/>
  <c r="I54" i="7"/>
  <c r="H54" i="7"/>
  <c r="E54" i="7"/>
  <c r="C54" i="7"/>
  <c r="B54" i="7"/>
  <c r="I53" i="7"/>
  <c r="H53" i="7"/>
  <c r="E53" i="7"/>
  <c r="C53" i="7"/>
  <c r="B53" i="7"/>
  <c r="I52" i="7"/>
  <c r="H52" i="7"/>
  <c r="E52" i="7"/>
  <c r="C52" i="7"/>
  <c r="B52" i="7"/>
  <c r="I51" i="7"/>
  <c r="H51" i="7"/>
  <c r="E51" i="7"/>
  <c r="C51" i="7"/>
  <c r="B51" i="7"/>
  <c r="I50" i="7"/>
  <c r="H50" i="7"/>
  <c r="E50" i="7"/>
  <c r="C50" i="7"/>
  <c r="B50" i="7"/>
  <c r="I49" i="7"/>
  <c r="H49" i="7"/>
  <c r="E49" i="7"/>
  <c r="C49" i="7"/>
  <c r="B49" i="7"/>
  <c r="I48" i="7"/>
  <c r="H48" i="7"/>
  <c r="E48" i="7"/>
  <c r="C48" i="7"/>
  <c r="B48" i="7"/>
  <c r="I47" i="7"/>
  <c r="H47" i="7"/>
  <c r="E47" i="7"/>
  <c r="C47" i="7"/>
  <c r="B47" i="7"/>
  <c r="I46" i="7"/>
  <c r="H46" i="7"/>
  <c r="E46" i="7"/>
  <c r="C46" i="7"/>
  <c r="B46" i="7"/>
  <c r="I45" i="7"/>
  <c r="H45" i="7"/>
  <c r="E45" i="7"/>
  <c r="C45" i="7"/>
  <c r="B45" i="7"/>
  <c r="I44" i="7"/>
  <c r="H44" i="7"/>
  <c r="E44" i="7"/>
  <c r="C44" i="7"/>
  <c r="B44" i="7"/>
  <c r="I43" i="7"/>
  <c r="H43" i="7"/>
  <c r="E43" i="7"/>
  <c r="C43" i="7"/>
  <c r="B43" i="7"/>
  <c r="I42" i="7"/>
  <c r="H42" i="7"/>
  <c r="E42" i="7"/>
  <c r="C42" i="7"/>
  <c r="B42" i="7"/>
  <c r="I41" i="7"/>
  <c r="H41" i="7"/>
  <c r="E41" i="7"/>
  <c r="C41" i="7"/>
  <c r="B41" i="7"/>
  <c r="I40" i="7"/>
  <c r="H40" i="7"/>
  <c r="E40" i="7"/>
  <c r="C40" i="7"/>
  <c r="B40" i="7"/>
  <c r="I39" i="7"/>
  <c r="H39" i="7"/>
  <c r="E39" i="7"/>
  <c r="C39" i="7"/>
  <c r="B39" i="7"/>
  <c r="I38" i="7"/>
  <c r="H38" i="7"/>
  <c r="E38" i="7"/>
  <c r="C38" i="7"/>
  <c r="B38" i="7"/>
  <c r="I37" i="7"/>
  <c r="H37" i="7"/>
  <c r="E37" i="7"/>
  <c r="C37" i="7"/>
  <c r="B37" i="7"/>
  <c r="I36" i="7"/>
  <c r="H36" i="7"/>
  <c r="E36" i="7"/>
  <c r="C36" i="7"/>
  <c r="B36" i="7"/>
  <c r="I35" i="7"/>
  <c r="H35" i="7"/>
  <c r="E35" i="7"/>
  <c r="C35" i="7"/>
  <c r="B35" i="7"/>
  <c r="I34" i="7"/>
  <c r="H34" i="7"/>
  <c r="E34" i="7"/>
  <c r="C34" i="7"/>
  <c r="B34" i="7"/>
  <c r="I33" i="7"/>
  <c r="H33" i="7"/>
  <c r="E33" i="7"/>
  <c r="C33" i="7"/>
  <c r="B33" i="7"/>
  <c r="I32" i="7"/>
  <c r="H32" i="7"/>
  <c r="E32" i="7"/>
  <c r="C32" i="7"/>
  <c r="B32" i="7"/>
  <c r="I31" i="7"/>
  <c r="H31" i="7"/>
  <c r="E31" i="7"/>
  <c r="C31" i="7"/>
  <c r="B31" i="7"/>
  <c r="I30" i="7"/>
  <c r="H30" i="7"/>
  <c r="E30" i="7"/>
  <c r="C30" i="7"/>
  <c r="B30" i="7"/>
  <c r="I29" i="7"/>
  <c r="H29" i="7"/>
  <c r="E29" i="7"/>
  <c r="C29" i="7"/>
  <c r="B29" i="7"/>
  <c r="I28" i="7"/>
  <c r="H28" i="7"/>
  <c r="E28" i="7"/>
  <c r="C28" i="7"/>
  <c r="B28" i="7"/>
  <c r="I27" i="7"/>
  <c r="H27" i="7"/>
  <c r="E27" i="7"/>
  <c r="C27" i="7"/>
  <c r="B27" i="7"/>
  <c r="I26" i="7"/>
  <c r="H26" i="7"/>
  <c r="E26" i="7"/>
  <c r="C26" i="7"/>
  <c r="B26" i="7"/>
  <c r="I25" i="7"/>
  <c r="H25" i="7"/>
  <c r="E25" i="7"/>
  <c r="C25" i="7"/>
  <c r="B25" i="7"/>
  <c r="I24" i="7"/>
  <c r="H24" i="7"/>
  <c r="E24" i="7"/>
  <c r="C24" i="7"/>
  <c r="B24" i="7"/>
  <c r="I23" i="7"/>
  <c r="H23" i="7"/>
  <c r="E23" i="7"/>
  <c r="C23" i="7"/>
  <c r="B23" i="7"/>
  <c r="I22" i="7"/>
  <c r="H22" i="7"/>
  <c r="E22" i="7"/>
  <c r="C22" i="7"/>
  <c r="B22" i="7"/>
  <c r="I21" i="7"/>
  <c r="H21" i="7"/>
  <c r="E21" i="7"/>
  <c r="C21" i="7"/>
  <c r="B21" i="7"/>
  <c r="I20" i="7"/>
  <c r="H20" i="7"/>
  <c r="E20" i="7"/>
  <c r="C20" i="7"/>
  <c r="B20" i="7"/>
  <c r="I19" i="7"/>
  <c r="H19" i="7"/>
  <c r="E19" i="7"/>
  <c r="C19" i="7"/>
  <c r="B19" i="7"/>
  <c r="I18" i="7"/>
  <c r="H18" i="7"/>
  <c r="E18" i="7"/>
  <c r="C18" i="7"/>
  <c r="B18" i="7"/>
  <c r="I17" i="7"/>
  <c r="H17" i="7"/>
  <c r="E17" i="7"/>
  <c r="C17" i="7"/>
  <c r="B17" i="7"/>
  <c r="I16" i="7"/>
  <c r="H16" i="7"/>
  <c r="E16" i="7"/>
  <c r="C16" i="7"/>
  <c r="B16" i="7"/>
  <c r="I15" i="7"/>
  <c r="H15" i="7"/>
  <c r="E15" i="7"/>
  <c r="C15" i="7"/>
  <c r="B15" i="7"/>
  <c r="I14" i="7"/>
  <c r="H14" i="7"/>
  <c r="E14" i="7"/>
  <c r="C14" i="7"/>
  <c r="B14" i="7"/>
  <c r="I13" i="7"/>
  <c r="H13" i="7"/>
  <c r="E13" i="7"/>
  <c r="C13" i="7"/>
  <c r="B13" i="7"/>
  <c r="I12" i="7"/>
  <c r="H12" i="7"/>
  <c r="E12" i="7"/>
  <c r="C12" i="7"/>
  <c r="B12" i="7"/>
  <c r="I11" i="7"/>
  <c r="H11" i="7"/>
  <c r="E11" i="7"/>
  <c r="C11" i="7"/>
  <c r="B11" i="7"/>
  <c r="I10" i="7"/>
  <c r="H10" i="7"/>
  <c r="E10" i="7"/>
  <c r="C10" i="7"/>
  <c r="B10" i="7"/>
  <c r="I9" i="7"/>
  <c r="H9" i="7"/>
  <c r="E9" i="7"/>
  <c r="C9" i="7"/>
  <c r="B9" i="7"/>
  <c r="I8" i="7"/>
  <c r="H8" i="7"/>
  <c r="E8" i="7"/>
  <c r="C8" i="7"/>
  <c r="B8" i="7"/>
  <c r="I7" i="7"/>
  <c r="H7" i="7"/>
  <c r="E7" i="7"/>
  <c r="C7" i="7"/>
  <c r="B7" i="7"/>
  <c r="I6" i="7"/>
  <c r="H6" i="7"/>
  <c r="E6" i="7"/>
  <c r="C6" i="7"/>
  <c r="B6" i="7"/>
  <c r="I142" i="6"/>
  <c r="H142" i="6"/>
  <c r="G142" i="6"/>
  <c r="C142" i="6"/>
  <c r="B142" i="6"/>
  <c r="I141" i="6"/>
  <c r="H141" i="6"/>
  <c r="G141" i="6"/>
  <c r="C141" i="6"/>
  <c r="B141" i="6"/>
  <c r="I140" i="6"/>
  <c r="H140" i="6"/>
  <c r="G140" i="6"/>
  <c r="C140" i="6"/>
  <c r="B140" i="6"/>
  <c r="I139" i="6"/>
  <c r="H139" i="6"/>
  <c r="G139" i="6"/>
  <c r="C139" i="6"/>
  <c r="B139" i="6"/>
  <c r="I138" i="6"/>
  <c r="H138" i="6"/>
  <c r="G138" i="6"/>
  <c r="C138" i="6"/>
  <c r="B138" i="6"/>
  <c r="I137" i="6"/>
  <c r="H137" i="6"/>
  <c r="G137" i="6"/>
  <c r="C137" i="6"/>
  <c r="B137" i="6"/>
  <c r="I136" i="6"/>
  <c r="H136" i="6"/>
  <c r="G136" i="6"/>
  <c r="C136" i="6"/>
  <c r="B136" i="6"/>
  <c r="I135" i="6"/>
  <c r="H135" i="6"/>
  <c r="G135" i="6"/>
  <c r="C135" i="6"/>
  <c r="B135" i="6"/>
  <c r="I134" i="6"/>
  <c r="H134" i="6"/>
  <c r="G134" i="6"/>
  <c r="C134" i="6"/>
  <c r="B134" i="6"/>
  <c r="I133" i="6"/>
  <c r="H133" i="6"/>
  <c r="G133" i="6"/>
  <c r="C133" i="6"/>
  <c r="B133" i="6"/>
  <c r="I132" i="6"/>
  <c r="H132" i="6"/>
  <c r="G132" i="6"/>
  <c r="C132" i="6"/>
  <c r="B132" i="6"/>
  <c r="I131" i="6"/>
  <c r="H131" i="6"/>
  <c r="G131" i="6"/>
  <c r="C131" i="6"/>
  <c r="B131" i="6"/>
  <c r="I130" i="6"/>
  <c r="H130" i="6"/>
  <c r="G130" i="6"/>
  <c r="C130" i="6"/>
  <c r="B130" i="6"/>
  <c r="I129" i="6"/>
  <c r="H129" i="6"/>
  <c r="G129" i="6"/>
  <c r="C129" i="6"/>
  <c r="B129" i="6"/>
  <c r="I128" i="6"/>
  <c r="H128" i="6"/>
  <c r="G128" i="6"/>
  <c r="C128" i="6"/>
  <c r="B128" i="6"/>
  <c r="I127" i="6"/>
  <c r="H127" i="6"/>
  <c r="G127" i="6"/>
  <c r="C127" i="6"/>
  <c r="B127" i="6"/>
  <c r="I126" i="6"/>
  <c r="H126" i="6"/>
  <c r="G126" i="6"/>
  <c r="C126" i="6"/>
  <c r="B126" i="6"/>
  <c r="I125" i="6"/>
  <c r="H125" i="6"/>
  <c r="G125" i="6"/>
  <c r="C125" i="6"/>
  <c r="B125" i="6"/>
  <c r="I124" i="6"/>
  <c r="H124" i="6"/>
  <c r="G124" i="6"/>
  <c r="C124" i="6"/>
  <c r="B124" i="6"/>
  <c r="I123" i="6"/>
  <c r="H123" i="6"/>
  <c r="G123" i="6"/>
  <c r="C123" i="6"/>
  <c r="B123" i="6"/>
  <c r="I122" i="6"/>
  <c r="H122" i="6"/>
  <c r="G122" i="6"/>
  <c r="C122" i="6"/>
  <c r="B122" i="6"/>
  <c r="I121" i="6"/>
  <c r="H121" i="6"/>
  <c r="G121" i="6"/>
  <c r="C121" i="6"/>
  <c r="B121" i="6"/>
  <c r="I120" i="6"/>
  <c r="H120" i="6"/>
  <c r="G120" i="6"/>
  <c r="C120" i="6"/>
  <c r="B120" i="6"/>
  <c r="I119" i="6"/>
  <c r="H119" i="6"/>
  <c r="G119" i="6"/>
  <c r="C119" i="6"/>
  <c r="B119" i="6"/>
  <c r="I118" i="6"/>
  <c r="H118" i="6"/>
  <c r="G118" i="6"/>
  <c r="C118" i="6"/>
  <c r="B118" i="6"/>
  <c r="I117" i="6"/>
  <c r="H117" i="6"/>
  <c r="G117" i="6"/>
  <c r="C117" i="6"/>
  <c r="B117" i="6"/>
  <c r="I116" i="6"/>
  <c r="H116" i="6"/>
  <c r="G116" i="6"/>
  <c r="C116" i="6"/>
  <c r="B116" i="6"/>
  <c r="I115" i="6"/>
  <c r="H115" i="6"/>
  <c r="G115" i="6"/>
  <c r="C115" i="6"/>
  <c r="B115" i="6"/>
  <c r="I114" i="6"/>
  <c r="H114" i="6"/>
  <c r="G114" i="6"/>
  <c r="C114" i="6"/>
  <c r="B114" i="6"/>
  <c r="I113" i="6"/>
  <c r="H113" i="6"/>
  <c r="G113" i="6"/>
  <c r="C113" i="6"/>
  <c r="B113" i="6"/>
  <c r="I112" i="6"/>
  <c r="H112" i="6"/>
  <c r="G112" i="6"/>
  <c r="C112" i="6"/>
  <c r="B112" i="6"/>
  <c r="I111" i="6"/>
  <c r="H111" i="6"/>
  <c r="G111" i="6"/>
  <c r="C111" i="6"/>
  <c r="B111" i="6"/>
  <c r="I110" i="6"/>
  <c r="H110" i="6"/>
  <c r="G110" i="6"/>
  <c r="C110" i="6"/>
  <c r="B110" i="6"/>
  <c r="I109" i="6"/>
  <c r="H109" i="6"/>
  <c r="G109" i="6"/>
  <c r="C109" i="6"/>
  <c r="B109" i="6"/>
  <c r="I108" i="6"/>
  <c r="H108" i="6"/>
  <c r="G108" i="6"/>
  <c r="C108" i="6"/>
  <c r="B108" i="6"/>
  <c r="I107" i="6"/>
  <c r="H107" i="6"/>
  <c r="G107" i="6"/>
  <c r="C107" i="6"/>
  <c r="B107" i="6"/>
  <c r="I106" i="6"/>
  <c r="H106" i="6"/>
  <c r="G106" i="6"/>
  <c r="C106" i="6"/>
  <c r="B106" i="6"/>
  <c r="I105" i="6"/>
  <c r="H105" i="6"/>
  <c r="G105" i="6"/>
  <c r="C105" i="6"/>
  <c r="B105" i="6"/>
  <c r="I104" i="6"/>
  <c r="H104" i="6"/>
  <c r="G104" i="6"/>
  <c r="C104" i="6"/>
  <c r="B104" i="6"/>
  <c r="I103" i="6"/>
  <c r="H103" i="6"/>
  <c r="G103" i="6"/>
  <c r="C103" i="6"/>
  <c r="B103" i="6"/>
  <c r="I102" i="6"/>
  <c r="H102" i="6"/>
  <c r="G102" i="6"/>
  <c r="C102" i="6"/>
  <c r="B102" i="6"/>
  <c r="I101" i="6"/>
  <c r="H101" i="6"/>
  <c r="G101" i="6"/>
  <c r="C101" i="6"/>
  <c r="B101" i="6"/>
  <c r="I100" i="6"/>
  <c r="H100" i="6"/>
  <c r="G100" i="6"/>
  <c r="C100" i="6"/>
  <c r="B100" i="6"/>
  <c r="I99" i="6"/>
  <c r="H99" i="6"/>
  <c r="G99" i="6"/>
  <c r="C99" i="6"/>
  <c r="B99" i="6"/>
  <c r="I98" i="6"/>
  <c r="H98" i="6"/>
  <c r="G98" i="6"/>
  <c r="C98" i="6"/>
  <c r="B98" i="6"/>
  <c r="I97" i="6"/>
  <c r="H97" i="6"/>
  <c r="G97" i="6"/>
  <c r="C97" i="6"/>
  <c r="B97" i="6"/>
  <c r="I96" i="6"/>
  <c r="H96" i="6"/>
  <c r="G96" i="6"/>
  <c r="C96" i="6"/>
  <c r="B96" i="6"/>
  <c r="I95" i="6"/>
  <c r="H95" i="6"/>
  <c r="G95" i="6"/>
  <c r="C95" i="6"/>
  <c r="B95" i="6"/>
  <c r="I94" i="6"/>
  <c r="H94" i="6"/>
  <c r="G94" i="6"/>
  <c r="C94" i="6"/>
  <c r="B94" i="6"/>
  <c r="I93" i="6"/>
  <c r="H93" i="6"/>
  <c r="G93" i="6"/>
  <c r="C93" i="6"/>
  <c r="B93" i="6"/>
  <c r="I92" i="6"/>
  <c r="H92" i="6"/>
  <c r="G92" i="6"/>
  <c r="C92" i="6"/>
  <c r="B92" i="6"/>
  <c r="I91" i="6"/>
  <c r="H91" i="6"/>
  <c r="G91" i="6"/>
  <c r="C91" i="6"/>
  <c r="B91" i="6"/>
  <c r="I90" i="6"/>
  <c r="H90" i="6"/>
  <c r="G90" i="6"/>
  <c r="C90" i="6"/>
  <c r="B90" i="6"/>
  <c r="I89" i="6"/>
  <c r="H89" i="6"/>
  <c r="G89" i="6"/>
  <c r="C89" i="6"/>
  <c r="B89" i="6"/>
  <c r="I88" i="6"/>
  <c r="H88" i="6"/>
  <c r="G88" i="6"/>
  <c r="C88" i="6"/>
  <c r="B88" i="6"/>
  <c r="I87" i="6"/>
  <c r="H87" i="6"/>
  <c r="G87" i="6"/>
  <c r="C87" i="6"/>
  <c r="B87" i="6"/>
  <c r="I86" i="6"/>
  <c r="H86" i="6"/>
  <c r="G86" i="6"/>
  <c r="C86" i="6"/>
  <c r="B86" i="6"/>
  <c r="I85" i="6"/>
  <c r="H85" i="6"/>
  <c r="G85" i="6"/>
  <c r="C85" i="6"/>
  <c r="B85" i="6"/>
  <c r="I84" i="6"/>
  <c r="H84" i="6"/>
  <c r="G84" i="6"/>
  <c r="C84" i="6"/>
  <c r="B84" i="6"/>
  <c r="I83" i="6"/>
  <c r="H83" i="6"/>
  <c r="G83" i="6"/>
  <c r="C83" i="6"/>
  <c r="B83" i="6"/>
  <c r="I82" i="6"/>
  <c r="H82" i="6"/>
  <c r="G82" i="6"/>
  <c r="C82" i="6"/>
  <c r="B82" i="6"/>
  <c r="I81" i="6"/>
  <c r="H81" i="6"/>
  <c r="G81" i="6"/>
  <c r="C81" i="6"/>
  <c r="B81" i="6"/>
  <c r="I80" i="6"/>
  <c r="H80" i="6"/>
  <c r="G80" i="6"/>
  <c r="C80" i="6"/>
  <c r="B80" i="6"/>
  <c r="I79" i="6"/>
  <c r="H79" i="6"/>
  <c r="G79" i="6"/>
  <c r="C79" i="6"/>
  <c r="B79" i="6"/>
  <c r="I78" i="6"/>
  <c r="H78" i="6"/>
  <c r="G78" i="6"/>
  <c r="C78" i="6"/>
  <c r="B78" i="6"/>
  <c r="I77" i="6"/>
  <c r="H77" i="6"/>
  <c r="G77" i="6"/>
  <c r="C77" i="6"/>
  <c r="B77" i="6"/>
  <c r="I76" i="6"/>
  <c r="H76" i="6"/>
  <c r="G76" i="6"/>
  <c r="C76" i="6"/>
  <c r="B76" i="6"/>
  <c r="I75" i="6"/>
  <c r="H75" i="6"/>
  <c r="G75" i="6"/>
  <c r="C75" i="6"/>
  <c r="B75" i="6"/>
  <c r="I74" i="6"/>
  <c r="H74" i="6"/>
  <c r="G74" i="6"/>
  <c r="C74" i="6"/>
  <c r="B74" i="6"/>
  <c r="I73" i="6"/>
  <c r="H73" i="6"/>
  <c r="G73" i="6"/>
  <c r="C73" i="6"/>
  <c r="B73" i="6"/>
  <c r="I72" i="6"/>
  <c r="H72" i="6"/>
  <c r="G72" i="6"/>
  <c r="C72" i="6"/>
  <c r="B72" i="6"/>
  <c r="I71" i="6"/>
  <c r="H71" i="6"/>
  <c r="G71" i="6"/>
  <c r="C71" i="6"/>
  <c r="B71" i="6"/>
  <c r="I70" i="6"/>
  <c r="H70" i="6"/>
  <c r="G70" i="6"/>
  <c r="C70" i="6"/>
  <c r="B70" i="6"/>
  <c r="I69" i="6"/>
  <c r="H69" i="6"/>
  <c r="G69" i="6"/>
  <c r="C69" i="6"/>
  <c r="B69" i="6"/>
  <c r="I68" i="6"/>
  <c r="H68" i="6"/>
  <c r="G68" i="6"/>
  <c r="C68" i="6"/>
  <c r="B68" i="6"/>
  <c r="I67" i="6"/>
  <c r="H67" i="6"/>
  <c r="G67" i="6"/>
  <c r="C67" i="6"/>
  <c r="B67" i="6"/>
  <c r="I66" i="6"/>
  <c r="H66" i="6"/>
  <c r="G66" i="6"/>
  <c r="C66" i="6"/>
  <c r="B66" i="6"/>
  <c r="I65" i="6"/>
  <c r="H65" i="6"/>
  <c r="G65" i="6"/>
  <c r="C65" i="6"/>
  <c r="B65" i="6"/>
  <c r="I64" i="6"/>
  <c r="H64" i="6"/>
  <c r="G64" i="6"/>
  <c r="C64" i="6"/>
  <c r="B64" i="6"/>
  <c r="I63" i="6"/>
  <c r="H63" i="6"/>
  <c r="G63" i="6"/>
  <c r="C63" i="6"/>
  <c r="B63" i="6"/>
  <c r="I62" i="6"/>
  <c r="H62" i="6"/>
  <c r="G62" i="6"/>
  <c r="C62" i="6"/>
  <c r="B62" i="6"/>
  <c r="I61" i="6"/>
  <c r="H61" i="6"/>
  <c r="G61" i="6"/>
  <c r="C61" i="6"/>
  <c r="B61" i="6"/>
  <c r="I60" i="6"/>
  <c r="H60" i="6"/>
  <c r="G60" i="6"/>
  <c r="C60" i="6"/>
  <c r="B60" i="6"/>
  <c r="I59" i="6"/>
  <c r="H59" i="6"/>
  <c r="G59" i="6"/>
  <c r="C59" i="6"/>
  <c r="B59" i="6"/>
  <c r="I58" i="6"/>
  <c r="H58" i="6"/>
  <c r="G58" i="6"/>
  <c r="C58" i="6"/>
  <c r="B58" i="6"/>
  <c r="I57" i="6"/>
  <c r="H57" i="6"/>
  <c r="G57" i="6"/>
  <c r="C57" i="6"/>
  <c r="B57" i="6"/>
  <c r="I56" i="6"/>
  <c r="H56" i="6"/>
  <c r="G56" i="6"/>
  <c r="C56" i="6"/>
  <c r="B56" i="6"/>
  <c r="I55" i="6"/>
  <c r="H55" i="6"/>
  <c r="G55" i="6"/>
  <c r="C55" i="6"/>
  <c r="B55" i="6"/>
  <c r="I54" i="6"/>
  <c r="H54" i="6"/>
  <c r="G54" i="6"/>
  <c r="C54" i="6"/>
  <c r="B54" i="6"/>
  <c r="I53" i="6"/>
  <c r="H53" i="6"/>
  <c r="G53" i="6"/>
  <c r="C53" i="6"/>
  <c r="B53" i="6"/>
  <c r="I52" i="6"/>
  <c r="H52" i="6"/>
  <c r="G52" i="6"/>
  <c r="C52" i="6"/>
  <c r="B52" i="6"/>
  <c r="I51" i="6"/>
  <c r="H51" i="6"/>
  <c r="G51" i="6"/>
  <c r="C51" i="6"/>
  <c r="B51" i="6"/>
  <c r="I50" i="6"/>
  <c r="H50" i="6"/>
  <c r="G50" i="6"/>
  <c r="C50" i="6"/>
  <c r="B50" i="6"/>
  <c r="I49" i="6"/>
  <c r="H49" i="6"/>
  <c r="G49" i="6"/>
  <c r="C49" i="6"/>
  <c r="B49" i="6"/>
  <c r="I48" i="6"/>
  <c r="H48" i="6"/>
  <c r="G48" i="6"/>
  <c r="C48" i="6"/>
  <c r="B48" i="6"/>
  <c r="I47" i="6"/>
  <c r="H47" i="6"/>
  <c r="G47" i="6"/>
  <c r="C47" i="6"/>
  <c r="B47" i="6"/>
  <c r="I46" i="6"/>
  <c r="H46" i="6"/>
  <c r="G46" i="6"/>
  <c r="C46" i="6"/>
  <c r="B46" i="6"/>
  <c r="I45" i="6"/>
  <c r="H45" i="6"/>
  <c r="G45" i="6"/>
  <c r="C45" i="6"/>
  <c r="B45" i="6"/>
  <c r="I44" i="6"/>
  <c r="H44" i="6"/>
  <c r="G44" i="6"/>
  <c r="C44" i="6"/>
  <c r="B44" i="6"/>
  <c r="I43" i="6"/>
  <c r="H43" i="6"/>
  <c r="G43" i="6"/>
  <c r="C43" i="6"/>
  <c r="B43" i="6"/>
  <c r="I42" i="6"/>
  <c r="H42" i="6"/>
  <c r="G42" i="6"/>
  <c r="C42" i="6"/>
  <c r="B42" i="6"/>
  <c r="I41" i="6"/>
  <c r="H41" i="6"/>
  <c r="G41" i="6"/>
  <c r="C41" i="6"/>
  <c r="B41" i="6"/>
  <c r="I40" i="6"/>
  <c r="H40" i="6"/>
  <c r="G40" i="6"/>
  <c r="C40" i="6"/>
  <c r="B40" i="6"/>
  <c r="I39" i="6"/>
  <c r="H39" i="6"/>
  <c r="G39" i="6"/>
  <c r="C39" i="6"/>
  <c r="B39" i="6"/>
  <c r="I38" i="6"/>
  <c r="H38" i="6"/>
  <c r="G38" i="6"/>
  <c r="C38" i="6"/>
  <c r="B38" i="6"/>
  <c r="I37" i="6"/>
  <c r="H37" i="6"/>
  <c r="G37" i="6"/>
  <c r="C37" i="6"/>
  <c r="B37" i="6"/>
  <c r="I36" i="6"/>
  <c r="H36" i="6"/>
  <c r="G36" i="6"/>
  <c r="C36" i="6"/>
  <c r="B36" i="6"/>
  <c r="I35" i="6"/>
  <c r="H35" i="6"/>
  <c r="G35" i="6"/>
  <c r="C35" i="6"/>
  <c r="B35" i="6"/>
  <c r="I34" i="6"/>
  <c r="H34" i="6"/>
  <c r="G34" i="6"/>
  <c r="C34" i="6"/>
  <c r="B34" i="6"/>
  <c r="I33" i="6"/>
  <c r="H33" i="6"/>
  <c r="G33" i="6"/>
  <c r="C33" i="6"/>
  <c r="B33" i="6"/>
  <c r="I32" i="6"/>
  <c r="H32" i="6"/>
  <c r="G32" i="6"/>
  <c r="C32" i="6"/>
  <c r="B32" i="6"/>
  <c r="I31" i="6"/>
  <c r="H31" i="6"/>
  <c r="G31" i="6"/>
  <c r="C31" i="6"/>
  <c r="B31" i="6"/>
  <c r="I30" i="6"/>
  <c r="H30" i="6"/>
  <c r="G30" i="6"/>
  <c r="C30" i="6"/>
  <c r="B30" i="6"/>
  <c r="I29" i="6"/>
  <c r="H29" i="6"/>
  <c r="G29" i="6"/>
  <c r="C29" i="6"/>
  <c r="B29" i="6"/>
  <c r="I28" i="6"/>
  <c r="H28" i="6"/>
  <c r="G28" i="6"/>
  <c r="C28" i="6"/>
  <c r="B28" i="6"/>
  <c r="I27" i="6"/>
  <c r="H27" i="6"/>
  <c r="G27" i="6"/>
  <c r="C27" i="6"/>
  <c r="B27" i="6"/>
  <c r="I26" i="6"/>
  <c r="H26" i="6"/>
  <c r="G26" i="6"/>
  <c r="C26" i="6"/>
  <c r="B26" i="6"/>
  <c r="I25" i="6"/>
  <c r="H25" i="6"/>
  <c r="G25" i="6"/>
  <c r="C25" i="6"/>
  <c r="B25" i="6"/>
  <c r="I24" i="6"/>
  <c r="H24" i="6"/>
  <c r="G24" i="6"/>
  <c r="C24" i="6"/>
  <c r="B24" i="6"/>
  <c r="I23" i="6"/>
  <c r="H23" i="6"/>
  <c r="G23" i="6"/>
  <c r="C23" i="6"/>
  <c r="B23" i="6"/>
  <c r="I22" i="6"/>
  <c r="H22" i="6"/>
  <c r="G22" i="6"/>
  <c r="C22" i="6"/>
  <c r="B22" i="6"/>
  <c r="I21" i="6"/>
  <c r="H21" i="6"/>
  <c r="G21" i="6"/>
  <c r="C21" i="6"/>
  <c r="B21" i="6"/>
  <c r="I20" i="6"/>
  <c r="H20" i="6"/>
  <c r="G20" i="6"/>
  <c r="C20" i="6"/>
  <c r="B20" i="6"/>
  <c r="I19" i="6"/>
  <c r="H19" i="6"/>
  <c r="G19" i="6"/>
  <c r="C19" i="6"/>
  <c r="B19" i="6"/>
  <c r="I18" i="6"/>
  <c r="H18" i="6"/>
  <c r="G18" i="6"/>
  <c r="C18" i="6"/>
  <c r="B18" i="6"/>
  <c r="I17" i="6"/>
  <c r="H17" i="6"/>
  <c r="G17" i="6"/>
  <c r="C17" i="6"/>
  <c r="B17" i="6"/>
  <c r="I16" i="6"/>
  <c r="H16" i="6"/>
  <c r="G16" i="6"/>
  <c r="C16" i="6"/>
  <c r="B16" i="6"/>
  <c r="I15" i="6"/>
  <c r="H15" i="6"/>
  <c r="G15" i="6"/>
  <c r="C15" i="6"/>
  <c r="B15" i="6"/>
  <c r="I14" i="6"/>
  <c r="H14" i="6"/>
  <c r="G14" i="6"/>
  <c r="C14" i="6"/>
  <c r="B14" i="6"/>
  <c r="I13" i="6"/>
  <c r="H13" i="6"/>
  <c r="G13" i="6"/>
  <c r="C13" i="6"/>
  <c r="B13" i="6"/>
  <c r="I12" i="6"/>
  <c r="H12" i="6"/>
  <c r="G12" i="6"/>
  <c r="C12" i="6"/>
  <c r="B12" i="6"/>
  <c r="I11" i="6"/>
  <c r="H11" i="6"/>
  <c r="G11" i="6"/>
  <c r="C11" i="6"/>
  <c r="B11" i="6"/>
  <c r="I10" i="6"/>
  <c r="H10" i="6"/>
  <c r="G10" i="6"/>
  <c r="C10" i="6"/>
  <c r="B10" i="6"/>
  <c r="I9" i="6"/>
  <c r="H9" i="6"/>
  <c r="G9" i="6"/>
  <c r="C9" i="6"/>
  <c r="B9" i="6"/>
  <c r="I8" i="6"/>
  <c r="H8" i="6"/>
  <c r="G8" i="6"/>
  <c r="C8" i="6"/>
  <c r="B8" i="6"/>
  <c r="I7" i="6"/>
  <c r="H7" i="6"/>
  <c r="G7" i="6"/>
  <c r="C7" i="6"/>
  <c r="B7" i="6"/>
  <c r="I6" i="6"/>
  <c r="H6" i="6"/>
  <c r="G6" i="6"/>
  <c r="C6" i="6"/>
  <c r="B6" i="6"/>
  <c r="C119" i="5"/>
  <c r="B119" i="5"/>
  <c r="C118" i="5"/>
  <c r="B118" i="5"/>
  <c r="C117" i="5"/>
  <c r="B117" i="5"/>
  <c r="C116" i="5"/>
  <c r="B116" i="5"/>
  <c r="C115" i="5"/>
  <c r="B115" i="5"/>
  <c r="L114" i="5"/>
  <c r="C114" i="5"/>
  <c r="B114" i="5"/>
  <c r="L113" i="5"/>
  <c r="D111" i="7" s="1"/>
  <c r="F111" i="7" s="1"/>
  <c r="C113" i="5"/>
  <c r="B113" i="5"/>
  <c r="L112" i="5"/>
  <c r="C112" i="5"/>
  <c r="B112" i="5"/>
  <c r="L111" i="5"/>
  <c r="D109" i="7" s="1"/>
  <c r="F109" i="7" s="1"/>
  <c r="C111" i="5"/>
  <c r="B111" i="5"/>
  <c r="L110" i="5"/>
  <c r="C110" i="5"/>
  <c r="B110" i="5"/>
  <c r="L109" i="5"/>
  <c r="D107" i="7" s="1"/>
  <c r="F107" i="7" s="1"/>
  <c r="C109" i="5"/>
  <c r="B109" i="5"/>
  <c r="L108" i="5"/>
  <c r="C108" i="5"/>
  <c r="B108" i="5"/>
  <c r="M107" i="5"/>
  <c r="L107" i="5"/>
  <c r="D105" i="7" s="1"/>
  <c r="F105" i="7" s="1"/>
  <c r="C107" i="5"/>
  <c r="B107" i="5"/>
  <c r="L106" i="5"/>
  <c r="C106" i="5"/>
  <c r="B106" i="5"/>
  <c r="M105" i="5"/>
  <c r="L105" i="5"/>
  <c r="D103" i="7" s="1"/>
  <c r="C105" i="5"/>
  <c r="B105" i="5"/>
  <c r="L104" i="5"/>
  <c r="C104" i="5"/>
  <c r="B104" i="5"/>
  <c r="L103" i="5"/>
  <c r="D101" i="7" s="1"/>
  <c r="C103" i="5"/>
  <c r="B103" i="5"/>
  <c r="L102" i="5"/>
  <c r="C102" i="5"/>
  <c r="B102" i="5"/>
  <c r="L101" i="5"/>
  <c r="D99" i="7" s="1"/>
  <c r="F99" i="7" s="1"/>
  <c r="C101" i="5"/>
  <c r="B101" i="5"/>
  <c r="L100" i="5"/>
  <c r="C100" i="5"/>
  <c r="B100" i="5"/>
  <c r="M99" i="5"/>
  <c r="L99" i="5"/>
  <c r="D97" i="7" s="1"/>
  <c r="F97" i="7" s="1"/>
  <c r="C99" i="5"/>
  <c r="B99" i="5"/>
  <c r="L98" i="5"/>
  <c r="C98" i="5"/>
  <c r="B98" i="5"/>
  <c r="L97" i="5"/>
  <c r="D95" i="7" s="1"/>
  <c r="F95" i="7" s="1"/>
  <c r="C97" i="5"/>
  <c r="B97" i="5"/>
  <c r="L96" i="5"/>
  <c r="C96" i="5"/>
  <c r="B96" i="5"/>
  <c r="L95" i="5"/>
  <c r="D93" i="7" s="1"/>
  <c r="C95" i="5"/>
  <c r="B95" i="5"/>
  <c r="L94" i="5"/>
  <c r="C94" i="5"/>
  <c r="B94" i="5"/>
  <c r="M93" i="5"/>
  <c r="L93" i="5"/>
  <c r="D91" i="7" s="1"/>
  <c r="F91" i="7" s="1"/>
  <c r="C93" i="5"/>
  <c r="B93" i="5"/>
  <c r="L92" i="5"/>
  <c r="C92" i="5"/>
  <c r="B92" i="5"/>
  <c r="M91" i="5"/>
  <c r="L91" i="5"/>
  <c r="D89" i="7" s="1"/>
  <c r="F89" i="7" s="1"/>
  <c r="C91" i="5"/>
  <c r="B91" i="5"/>
  <c r="L90" i="5"/>
  <c r="C90" i="5"/>
  <c r="B90" i="5"/>
  <c r="M89" i="5"/>
  <c r="L89" i="5"/>
  <c r="D87" i="7" s="1"/>
  <c r="F87" i="7" s="1"/>
  <c r="C89" i="5"/>
  <c r="B89" i="5"/>
  <c r="L88" i="5"/>
  <c r="C88" i="5"/>
  <c r="B88" i="5"/>
  <c r="L87" i="5"/>
  <c r="D85" i="7" s="1"/>
  <c r="C87" i="5"/>
  <c r="B87" i="5"/>
  <c r="L86" i="5"/>
  <c r="C86" i="5"/>
  <c r="B86" i="5"/>
  <c r="L85" i="5"/>
  <c r="D83" i="7" s="1"/>
  <c r="C85" i="5"/>
  <c r="B85" i="5"/>
  <c r="L84" i="5"/>
  <c r="C84" i="5"/>
  <c r="B84" i="5"/>
  <c r="M83" i="5"/>
  <c r="L83" i="5"/>
  <c r="D81" i="7" s="1"/>
  <c r="F81" i="7" s="1"/>
  <c r="C83" i="5"/>
  <c r="B83" i="5"/>
  <c r="L82" i="5"/>
  <c r="C82" i="5"/>
  <c r="B82" i="5"/>
  <c r="L81" i="5"/>
  <c r="D79" i="7" s="1"/>
  <c r="F79" i="7" s="1"/>
  <c r="C81" i="5"/>
  <c r="B81" i="5"/>
  <c r="L80" i="5"/>
  <c r="M80" i="5" s="1"/>
  <c r="C80" i="5"/>
  <c r="B80" i="5"/>
  <c r="L79" i="5"/>
  <c r="M79" i="5" s="1"/>
  <c r="C79" i="5"/>
  <c r="B79" i="5"/>
  <c r="L78" i="5"/>
  <c r="C78" i="5"/>
  <c r="B78" i="5"/>
  <c r="M77" i="5"/>
  <c r="L77" i="5"/>
  <c r="D77" i="7" s="1"/>
  <c r="C77" i="5"/>
  <c r="B77" i="5"/>
  <c r="L76" i="5"/>
  <c r="C76" i="5"/>
  <c r="B76" i="5"/>
  <c r="M75" i="5"/>
  <c r="L75" i="5"/>
  <c r="D75" i="7" s="1"/>
  <c r="F75" i="7" s="1"/>
  <c r="C75" i="5"/>
  <c r="B75" i="5"/>
  <c r="L74" i="5"/>
  <c r="C74" i="5"/>
  <c r="B74" i="5"/>
  <c r="M73" i="5"/>
  <c r="L73" i="5"/>
  <c r="D73" i="7" s="1"/>
  <c r="F73" i="7" s="1"/>
  <c r="C73" i="5"/>
  <c r="B73" i="5"/>
  <c r="L72" i="5"/>
  <c r="C72" i="5"/>
  <c r="B72" i="5"/>
  <c r="L71" i="5"/>
  <c r="D71" i="7" s="1"/>
  <c r="C71" i="5"/>
  <c r="B71" i="5"/>
  <c r="L70" i="5"/>
  <c r="C70" i="5"/>
  <c r="B70" i="5"/>
  <c r="L69" i="5"/>
  <c r="D69" i="7" s="1"/>
  <c r="F69" i="7" s="1"/>
  <c r="C69" i="5"/>
  <c r="B69" i="5"/>
  <c r="L68" i="5"/>
  <c r="C68" i="5"/>
  <c r="B68" i="5"/>
  <c r="M67" i="5"/>
  <c r="L67" i="5"/>
  <c r="D67" i="7" s="1"/>
  <c r="F67" i="7" s="1"/>
  <c r="C67" i="5"/>
  <c r="B67" i="5"/>
  <c r="L66" i="5"/>
  <c r="C66" i="5"/>
  <c r="B66" i="5"/>
  <c r="L65" i="5"/>
  <c r="D65" i="7" s="1"/>
  <c r="F65" i="7" s="1"/>
  <c r="C65" i="5"/>
  <c r="B65" i="5"/>
  <c r="L64" i="5"/>
  <c r="C64" i="5"/>
  <c r="B64" i="5"/>
  <c r="L63" i="5"/>
  <c r="D63" i="7" s="1"/>
  <c r="C63" i="5"/>
  <c r="B63" i="5"/>
  <c r="L62" i="5"/>
  <c r="C62" i="5"/>
  <c r="B62" i="5"/>
  <c r="M61" i="5"/>
  <c r="L61" i="5"/>
  <c r="D61" i="7" s="1"/>
  <c r="F61" i="7" s="1"/>
  <c r="C61" i="5"/>
  <c r="B61" i="5"/>
  <c r="L60" i="5"/>
  <c r="C60" i="5"/>
  <c r="B60" i="5"/>
  <c r="M59" i="5"/>
  <c r="L59" i="5"/>
  <c r="D59" i="7" s="1"/>
  <c r="F59" i="7" s="1"/>
  <c r="C59" i="5"/>
  <c r="B59" i="5"/>
  <c r="L58" i="5"/>
  <c r="C58" i="5"/>
  <c r="B58" i="5"/>
  <c r="M57" i="5"/>
  <c r="L57" i="5"/>
  <c r="D57" i="7" s="1"/>
  <c r="F57" i="7" s="1"/>
  <c r="C57" i="5"/>
  <c r="B57" i="5"/>
  <c r="L56" i="5"/>
  <c r="C56" i="5"/>
  <c r="B56" i="5"/>
  <c r="L55" i="5"/>
  <c r="D55" i="7" s="1"/>
  <c r="C55" i="5"/>
  <c r="B55" i="5"/>
  <c r="L54" i="5"/>
  <c r="C54" i="5"/>
  <c r="B54" i="5"/>
  <c r="L53" i="5"/>
  <c r="D53" i="7" s="1"/>
  <c r="F53" i="7" s="1"/>
  <c r="C53" i="5"/>
  <c r="B53" i="5"/>
  <c r="L52" i="5"/>
  <c r="C52" i="5"/>
  <c r="B52" i="5"/>
  <c r="M51" i="5"/>
  <c r="L51" i="5"/>
  <c r="D51" i="7" s="1"/>
  <c r="C51" i="5"/>
  <c r="B51" i="5"/>
  <c r="L50" i="5"/>
  <c r="C50" i="5"/>
  <c r="B50" i="5"/>
  <c r="L49" i="5"/>
  <c r="D49" i="7" s="1"/>
  <c r="F49" i="7" s="1"/>
  <c r="C49" i="5"/>
  <c r="B49" i="5"/>
  <c r="L48" i="5"/>
  <c r="C48" i="5"/>
  <c r="B48" i="5"/>
  <c r="L47" i="5"/>
  <c r="D47" i="7" s="1"/>
  <c r="F47" i="7" s="1"/>
  <c r="C47" i="5"/>
  <c r="B47" i="5"/>
  <c r="L46" i="5"/>
  <c r="C46" i="5"/>
  <c r="B46" i="5"/>
  <c r="M45" i="5"/>
  <c r="L45" i="5"/>
  <c r="D45" i="7" s="1"/>
  <c r="C45" i="5"/>
  <c r="B45" i="5"/>
  <c r="L44" i="5"/>
  <c r="C44" i="5"/>
  <c r="B44" i="5"/>
  <c r="L43" i="5"/>
  <c r="D43" i="7" s="1"/>
  <c r="F43" i="7" s="1"/>
  <c r="C43" i="5"/>
  <c r="B43" i="5"/>
  <c r="L42" i="5"/>
  <c r="C42" i="5"/>
  <c r="B42" i="5"/>
  <c r="M41" i="5"/>
  <c r="L41" i="5"/>
  <c r="D41" i="7" s="1"/>
  <c r="F41" i="7" s="1"/>
  <c r="C41" i="5"/>
  <c r="B41" i="5"/>
  <c r="L40" i="5"/>
  <c r="C40" i="5"/>
  <c r="B40" i="5"/>
  <c r="L39" i="5"/>
  <c r="D39" i="7" s="1"/>
  <c r="C39" i="5"/>
  <c r="B39" i="5"/>
  <c r="L38" i="5"/>
  <c r="C38" i="5"/>
  <c r="B38" i="5"/>
  <c r="L37" i="5"/>
  <c r="D37" i="7" s="1"/>
  <c r="C37" i="5"/>
  <c r="B37" i="5"/>
  <c r="L36" i="5"/>
  <c r="C36" i="5"/>
  <c r="B36" i="5"/>
  <c r="M35" i="5"/>
  <c r="L35" i="5"/>
  <c r="D35" i="7" s="1"/>
  <c r="F35" i="7" s="1"/>
  <c r="C35" i="5"/>
  <c r="B35" i="5"/>
  <c r="L34" i="5"/>
  <c r="C34" i="5"/>
  <c r="B34" i="5"/>
  <c r="L33" i="5"/>
  <c r="D33" i="7" s="1"/>
  <c r="F33" i="7" s="1"/>
  <c r="C33" i="5"/>
  <c r="B33" i="5"/>
  <c r="L32" i="5"/>
  <c r="C32" i="5"/>
  <c r="B32" i="5"/>
  <c r="L31" i="5"/>
  <c r="D31" i="7" s="1"/>
  <c r="F31" i="7" s="1"/>
  <c r="C31" i="5"/>
  <c r="B31" i="5"/>
  <c r="L30" i="5"/>
  <c r="C30" i="5"/>
  <c r="B30" i="5"/>
  <c r="M29" i="5"/>
  <c r="L29" i="5"/>
  <c r="D29" i="7" s="1"/>
  <c r="C29" i="5"/>
  <c r="B29" i="5"/>
  <c r="L28" i="5"/>
  <c r="D28" i="7" s="1"/>
  <c r="F28" i="7" s="1"/>
  <c r="C28" i="5"/>
  <c r="B28" i="5"/>
  <c r="M27" i="5"/>
  <c r="L27" i="5"/>
  <c r="D27" i="7" s="1"/>
  <c r="F27" i="7" s="1"/>
  <c r="C27" i="5"/>
  <c r="B27" i="5"/>
  <c r="L26" i="5"/>
  <c r="D26" i="7" s="1"/>
  <c r="F26" i="7" s="1"/>
  <c r="C26" i="5"/>
  <c r="B26" i="5"/>
  <c r="M25" i="5"/>
  <c r="L25" i="5"/>
  <c r="D25" i="7" s="1"/>
  <c r="C25" i="5"/>
  <c r="B25" i="5"/>
  <c r="L24" i="5"/>
  <c r="D24" i="7" s="1"/>
  <c r="F24" i="7" s="1"/>
  <c r="C24" i="5"/>
  <c r="B24" i="5"/>
  <c r="M23" i="5"/>
  <c r="L23" i="5"/>
  <c r="D23" i="7" s="1"/>
  <c r="F23" i="7" s="1"/>
  <c r="C23" i="5"/>
  <c r="B23" i="5"/>
  <c r="L22" i="5"/>
  <c r="D22" i="7" s="1"/>
  <c r="C22" i="5"/>
  <c r="B22" i="5"/>
  <c r="M21" i="5"/>
  <c r="L21" i="5"/>
  <c r="D21" i="7" s="1"/>
  <c r="F21" i="7" s="1"/>
  <c r="C21" i="5"/>
  <c r="B21" i="5"/>
  <c r="L20" i="5"/>
  <c r="D20" i="7" s="1"/>
  <c r="F20" i="7" s="1"/>
  <c r="C20" i="5"/>
  <c r="B20" i="5"/>
  <c r="M19" i="5"/>
  <c r="L19" i="5"/>
  <c r="D19" i="7" s="1"/>
  <c r="C19" i="5"/>
  <c r="B19" i="5"/>
  <c r="L18" i="5"/>
  <c r="D18" i="7" s="1"/>
  <c r="C18" i="5"/>
  <c r="B18" i="5"/>
  <c r="M17" i="5"/>
  <c r="L17" i="5"/>
  <c r="D17" i="7" s="1"/>
  <c r="F17" i="7" s="1"/>
  <c r="C17" i="5"/>
  <c r="B17" i="5"/>
  <c r="L16" i="5"/>
  <c r="D16" i="7" s="1"/>
  <c r="C16" i="5"/>
  <c r="B16" i="5"/>
  <c r="M15" i="5"/>
  <c r="L15" i="5"/>
  <c r="C15" i="5"/>
  <c r="B15" i="5"/>
  <c r="L14" i="5"/>
  <c r="F14" i="7" s="1"/>
  <c r="C14" i="5"/>
  <c r="B14" i="5"/>
  <c r="M13" i="5"/>
  <c r="L13" i="5"/>
  <c r="C13" i="5"/>
  <c r="B13" i="5"/>
  <c r="L12" i="5"/>
  <c r="F12" i="7" s="1"/>
  <c r="C12" i="5"/>
  <c r="B12" i="5"/>
  <c r="M11" i="5"/>
  <c r="L11" i="5"/>
  <c r="C11" i="5"/>
  <c r="B11" i="5"/>
  <c r="L10" i="5"/>
  <c r="F10" i="7" s="1"/>
  <c r="C10" i="5"/>
  <c r="B10" i="5"/>
  <c r="M9" i="5"/>
  <c r="L9" i="5"/>
  <c r="F9" i="7" s="1"/>
  <c r="C9" i="5"/>
  <c r="B9" i="5"/>
  <c r="L8" i="5"/>
  <c r="C8" i="5"/>
  <c r="B8" i="5"/>
  <c r="M7" i="5"/>
  <c r="L7" i="5"/>
  <c r="D7" i="7" s="1"/>
  <c r="C7" i="5"/>
  <c r="B7" i="5"/>
  <c r="L6" i="5"/>
  <c r="D6" i="7" s="1"/>
  <c r="F6" i="7" s="1"/>
  <c r="C6" i="5"/>
  <c r="B6" i="5"/>
  <c r="C13" i="3" a="1"/>
  <c r="C13" i="3" s="1"/>
  <c r="E5" i="3"/>
  <c r="C19" i="3" s="1" a="1"/>
  <c r="C19" i="3" s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I5" i="1"/>
  <c r="G5" i="1"/>
  <c r="E5" i="1"/>
  <c r="C5" i="1"/>
  <c r="A5" i="1"/>
  <c r="J88" i="7" l="1"/>
  <c r="J96" i="7"/>
  <c r="J21" i="7"/>
  <c r="J29" i="7"/>
  <c r="J79" i="7"/>
  <c r="J87" i="7"/>
  <c r="J46" i="7"/>
  <c r="J77" i="7"/>
  <c r="J109" i="7"/>
  <c r="J66" i="7"/>
  <c r="J103" i="7"/>
  <c r="J28" i="7"/>
  <c r="J81" i="7"/>
  <c r="J19" i="7"/>
  <c r="J51" i="7"/>
  <c r="J59" i="7"/>
  <c r="J67" i="7"/>
  <c r="J24" i="7"/>
  <c r="J56" i="7"/>
  <c r="J72" i="7"/>
  <c r="J31" i="7"/>
  <c r="J32" i="7"/>
  <c r="J40" i="7"/>
  <c r="J48" i="7"/>
  <c r="F116" i="7"/>
  <c r="K116" i="7" s="1"/>
  <c r="N116" i="7" s="1"/>
  <c r="J7" i="7"/>
  <c r="J15" i="7"/>
  <c r="J47" i="7"/>
  <c r="J55" i="7"/>
  <c r="J71" i="7"/>
  <c r="K10" i="3" a="1"/>
  <c r="K10" i="3" s="1"/>
  <c r="J25" i="7"/>
  <c r="J33" i="7"/>
  <c r="J41" i="7"/>
  <c r="J49" i="7"/>
  <c r="J57" i="7"/>
  <c r="J22" i="7"/>
  <c r="J85" i="7"/>
  <c r="J93" i="7"/>
  <c r="F8" i="7"/>
  <c r="L8" i="7" s="1"/>
  <c r="F101" i="7"/>
  <c r="L101" i="7" s="1"/>
  <c r="F63" i="7"/>
  <c r="M63" i="7" s="1"/>
  <c r="F93" i="7"/>
  <c r="F22" i="7"/>
  <c r="G22" i="7" s="1"/>
  <c r="F29" i="7"/>
  <c r="J8" i="7"/>
  <c r="J13" i="7"/>
  <c r="J16" i="7"/>
  <c r="J27" i="7"/>
  <c r="J35" i="7"/>
  <c r="J38" i="7"/>
  <c r="J65" i="7"/>
  <c r="J73" i="7"/>
  <c r="J92" i="7"/>
  <c r="J100" i="7"/>
  <c r="F118" i="7"/>
  <c r="F18" i="7"/>
  <c r="L18" i="7" s="1"/>
  <c r="F37" i="7"/>
  <c r="L37" i="7" s="1"/>
  <c r="J89" i="7"/>
  <c r="J97" i="7"/>
  <c r="J108" i="7"/>
  <c r="F113" i="7"/>
  <c r="F11" i="7"/>
  <c r="F55" i="7"/>
  <c r="M55" i="7" s="1"/>
  <c r="F85" i="7"/>
  <c r="M85" i="7" s="1"/>
  <c r="J23" i="7"/>
  <c r="J34" i="7"/>
  <c r="J45" i="7"/>
  <c r="J64" i="7"/>
  <c r="J102" i="7"/>
  <c r="J105" i="7"/>
  <c r="F117" i="7"/>
  <c r="J9" i="7"/>
  <c r="J39" i="7"/>
  <c r="J53" i="7"/>
  <c r="J61" i="7"/>
  <c r="J80" i="7"/>
  <c r="J83" i="7"/>
  <c r="J91" i="7"/>
  <c r="J99" i="7"/>
  <c r="F15" i="7"/>
  <c r="J54" i="7"/>
  <c r="J112" i="7"/>
  <c r="F7" i="7"/>
  <c r="G7" i="7" s="1"/>
  <c r="F16" i="7"/>
  <c r="F45" i="7"/>
  <c r="F77" i="7"/>
  <c r="J10" i="7"/>
  <c r="J30" i="7"/>
  <c r="J36" i="7"/>
  <c r="J42" i="7"/>
  <c r="J68" i="7"/>
  <c r="J74" i="7"/>
  <c r="J106" i="7"/>
  <c r="C15" i="3" a="1"/>
  <c r="C15" i="3" s="1"/>
  <c r="K17" i="3" a="1"/>
  <c r="K17" i="3" s="1"/>
  <c r="J111" i="7"/>
  <c r="J115" i="7"/>
  <c r="K19" i="3" a="1"/>
  <c r="K19" i="3" s="1"/>
  <c r="F19" i="7"/>
  <c r="L19" i="7" s="1"/>
  <c r="F83" i="7"/>
  <c r="F103" i="7"/>
  <c r="J6" i="7"/>
  <c r="J12" i="7"/>
  <c r="J18" i="7"/>
  <c r="J44" i="7"/>
  <c r="J50" i="7"/>
  <c r="J76" i="7"/>
  <c r="J82" i="7"/>
  <c r="J114" i="7"/>
  <c r="F51" i="7"/>
  <c r="F71" i="7"/>
  <c r="G71" i="7" s="1"/>
  <c r="J14" i="7"/>
  <c r="J20" i="7"/>
  <c r="J26" i="7"/>
  <c r="J52" i="7"/>
  <c r="J58" i="7"/>
  <c r="J78" i="7"/>
  <c r="J84" i="7"/>
  <c r="J90" i="7"/>
  <c r="F25" i="7"/>
  <c r="G25" i="7" s="1"/>
  <c r="C8" i="3" a="1"/>
  <c r="C8" i="3" s="1"/>
  <c r="K49" i="3" s="1"/>
  <c r="F13" i="7"/>
  <c r="F39" i="7"/>
  <c r="L39" i="7" s="1"/>
  <c r="J11" i="7"/>
  <c r="J17" i="7"/>
  <c r="J43" i="7"/>
  <c r="J63" i="7"/>
  <c r="J69" i="7"/>
  <c r="J75" i="7"/>
  <c r="J95" i="7"/>
  <c r="J101" i="7"/>
  <c r="J107" i="7"/>
  <c r="K44" i="3"/>
  <c r="C9" i="3" a="1"/>
  <c r="C9" i="3" s="1"/>
  <c r="C11" i="3" a="1"/>
  <c r="C11" i="3" s="1"/>
  <c r="K13" i="3" a="1"/>
  <c r="K13" i="3" s="1"/>
  <c r="K15" i="3" a="1"/>
  <c r="K15" i="3" s="1"/>
  <c r="C18" i="3" a="1"/>
  <c r="C18" i="3" s="1"/>
  <c r="C20" i="3" a="1"/>
  <c r="C20" i="3" s="1"/>
  <c r="D36" i="7"/>
  <c r="F36" i="7" s="1"/>
  <c r="M36" i="5"/>
  <c r="M43" i="7"/>
  <c r="L43" i="7"/>
  <c r="G43" i="7"/>
  <c r="D52" i="7"/>
  <c r="F52" i="7" s="1"/>
  <c r="M52" i="5"/>
  <c r="M59" i="7"/>
  <c r="L59" i="7"/>
  <c r="G59" i="7"/>
  <c r="D68" i="7"/>
  <c r="F68" i="7" s="1"/>
  <c r="M68" i="5"/>
  <c r="M75" i="7"/>
  <c r="L75" i="7"/>
  <c r="G75" i="7"/>
  <c r="D82" i="7"/>
  <c r="F82" i="7" s="1"/>
  <c r="M84" i="5"/>
  <c r="G89" i="7"/>
  <c r="K89" i="7" s="1"/>
  <c r="N89" i="7" s="1"/>
  <c r="M89" i="7"/>
  <c r="L89" i="7"/>
  <c r="D98" i="7"/>
  <c r="F98" i="7" s="1"/>
  <c r="M100" i="5"/>
  <c r="G105" i="7"/>
  <c r="M105" i="7"/>
  <c r="L105" i="7"/>
  <c r="M109" i="5"/>
  <c r="M34" i="5"/>
  <c r="D34" i="7"/>
  <c r="F34" i="7" s="1"/>
  <c r="G41" i="7"/>
  <c r="K41" i="7" s="1"/>
  <c r="N41" i="7" s="1"/>
  <c r="M41" i="7"/>
  <c r="L41" i="7"/>
  <c r="M43" i="5"/>
  <c r="D50" i="7"/>
  <c r="F50" i="7" s="1"/>
  <c r="M50" i="5"/>
  <c r="G57" i="7"/>
  <c r="M57" i="7"/>
  <c r="L57" i="7"/>
  <c r="K57" i="7"/>
  <c r="N57" i="7" s="1"/>
  <c r="D66" i="7"/>
  <c r="F66" i="7" s="1"/>
  <c r="M66" i="5"/>
  <c r="G73" i="7"/>
  <c r="K73" i="7" s="1"/>
  <c r="N73" i="7" s="1"/>
  <c r="M73" i="7"/>
  <c r="L73" i="7"/>
  <c r="D80" i="7"/>
  <c r="F80" i="7" s="1"/>
  <c r="M82" i="5"/>
  <c r="G87" i="7"/>
  <c r="K87" i="7" s="1"/>
  <c r="N87" i="7" s="1"/>
  <c r="M87" i="7"/>
  <c r="L87" i="7"/>
  <c r="D96" i="7"/>
  <c r="F96" i="7" s="1"/>
  <c r="M98" i="5"/>
  <c r="G103" i="7"/>
  <c r="K103" i="7" s="1"/>
  <c r="N103" i="7" s="1"/>
  <c r="M103" i="7"/>
  <c r="L103" i="7"/>
  <c r="D112" i="7"/>
  <c r="F112" i="7" s="1"/>
  <c r="M114" i="5"/>
  <c r="K9" i="3" a="1"/>
  <c r="K9" i="3" s="1"/>
  <c r="K11" i="3" a="1"/>
  <c r="K11" i="3" s="1"/>
  <c r="C14" i="3" a="1"/>
  <c r="C14" i="3" s="1"/>
  <c r="C16" i="3" a="1"/>
  <c r="C16" i="3" s="1"/>
  <c r="K18" i="3" a="1"/>
  <c r="K18" i="3" s="1"/>
  <c r="D32" i="7"/>
  <c r="F32" i="7" s="1"/>
  <c r="M32" i="5"/>
  <c r="D48" i="7"/>
  <c r="F48" i="7" s="1"/>
  <c r="M48" i="5"/>
  <c r="G55" i="7"/>
  <c r="L55" i="7"/>
  <c r="D64" i="7"/>
  <c r="F64" i="7" s="1"/>
  <c r="M64" i="5"/>
  <c r="L85" i="7"/>
  <c r="D94" i="7"/>
  <c r="F94" i="7" s="1"/>
  <c r="M96" i="5"/>
  <c r="G101" i="7"/>
  <c r="M101" i="7"/>
  <c r="D110" i="7"/>
  <c r="F110" i="7" s="1"/>
  <c r="M112" i="5"/>
  <c r="G6" i="7"/>
  <c r="M6" i="7"/>
  <c r="L6" i="7"/>
  <c r="K6" i="7"/>
  <c r="M8" i="7"/>
  <c r="G8" i="7"/>
  <c r="K8" i="7" s="1"/>
  <c r="N8" i="7" s="1"/>
  <c r="G10" i="7"/>
  <c r="K10" i="7" s="1"/>
  <c r="N10" i="7" s="1"/>
  <c r="M10" i="7"/>
  <c r="L10" i="7"/>
  <c r="G12" i="7"/>
  <c r="K12" i="7" s="1"/>
  <c r="N12" i="7" s="1"/>
  <c r="M12" i="7"/>
  <c r="L12" i="7"/>
  <c r="G14" i="7"/>
  <c r="M14" i="7"/>
  <c r="L14" i="7"/>
  <c r="M16" i="7"/>
  <c r="L16" i="7"/>
  <c r="G16" i="7"/>
  <c r="K16" i="7" s="1"/>
  <c r="N16" i="7" s="1"/>
  <c r="G18" i="7"/>
  <c r="K18" i="7" s="1"/>
  <c r="N18" i="7" s="1"/>
  <c r="M18" i="7"/>
  <c r="G20" i="7"/>
  <c r="M20" i="7"/>
  <c r="L20" i="7"/>
  <c r="L22" i="7"/>
  <c r="M24" i="7"/>
  <c r="L24" i="7"/>
  <c r="G24" i="7"/>
  <c r="K24" i="7" s="1"/>
  <c r="N24" i="7" s="1"/>
  <c r="G26" i="7"/>
  <c r="K26" i="7" s="1"/>
  <c r="N26" i="7" s="1"/>
  <c r="M26" i="7"/>
  <c r="L26" i="7"/>
  <c r="G28" i="7"/>
  <c r="K28" i="7" s="1"/>
  <c r="N28" i="7" s="1"/>
  <c r="M28" i="7"/>
  <c r="L28" i="7"/>
  <c r="D30" i="7"/>
  <c r="F30" i="7" s="1"/>
  <c r="M30" i="5"/>
  <c r="M39" i="5"/>
  <c r="D46" i="7"/>
  <c r="F46" i="7" s="1"/>
  <c r="M46" i="5"/>
  <c r="G53" i="7"/>
  <c r="K53" i="7" s="1"/>
  <c r="N53" i="7" s="1"/>
  <c r="M53" i="7"/>
  <c r="L53" i="7"/>
  <c r="M55" i="5"/>
  <c r="D62" i="7"/>
  <c r="F62" i="7" s="1"/>
  <c r="M62" i="5"/>
  <c r="K69" i="7"/>
  <c r="N69" i="7" s="1"/>
  <c r="G69" i="7"/>
  <c r="M69" i="7"/>
  <c r="L69" i="7"/>
  <c r="M71" i="5"/>
  <c r="D78" i="7"/>
  <c r="F78" i="7" s="1"/>
  <c r="M78" i="5"/>
  <c r="M83" i="7"/>
  <c r="L83" i="7"/>
  <c r="G83" i="7"/>
  <c r="K83" i="7" s="1"/>
  <c r="N83" i="7" s="1"/>
  <c r="M87" i="5"/>
  <c r="D92" i="7"/>
  <c r="F92" i="7" s="1"/>
  <c r="M94" i="5"/>
  <c r="M99" i="7"/>
  <c r="L99" i="7"/>
  <c r="G99" i="7"/>
  <c r="K99" i="7" s="1"/>
  <c r="N99" i="7" s="1"/>
  <c r="M103" i="5"/>
  <c r="D108" i="7"/>
  <c r="F108" i="7" s="1"/>
  <c r="M110" i="5"/>
  <c r="H5" i="3" a="1"/>
  <c r="H5" i="3" s="1"/>
  <c r="C10" i="3" a="1"/>
  <c r="C10" i="3" s="1"/>
  <c r="C12" i="3" a="1"/>
  <c r="C12" i="3" s="1"/>
  <c r="K14" i="3" a="1"/>
  <c r="K14" i="3" s="1"/>
  <c r="C17" i="3" a="1"/>
  <c r="C17" i="3" s="1"/>
  <c r="M6" i="5"/>
  <c r="M8" i="5"/>
  <c r="M10" i="5"/>
  <c r="M12" i="5"/>
  <c r="M14" i="5"/>
  <c r="M16" i="5"/>
  <c r="M18" i="5"/>
  <c r="M20" i="5"/>
  <c r="M22" i="5"/>
  <c r="M24" i="5"/>
  <c r="M26" i="5"/>
  <c r="M28" i="5"/>
  <c r="L35" i="7"/>
  <c r="G35" i="7"/>
  <c r="K35" i="7" s="1"/>
  <c r="N35" i="7" s="1"/>
  <c r="M35" i="7"/>
  <c r="M37" i="5"/>
  <c r="D44" i="7"/>
  <c r="F44" i="7" s="1"/>
  <c r="M44" i="5"/>
  <c r="M51" i="7"/>
  <c r="L51" i="7"/>
  <c r="G51" i="7"/>
  <c r="K51" i="7" s="1"/>
  <c r="N51" i="7" s="1"/>
  <c r="M53" i="5"/>
  <c r="D60" i="7"/>
  <c r="F60" i="7" s="1"/>
  <c r="M60" i="5"/>
  <c r="M67" i="7"/>
  <c r="L67" i="7"/>
  <c r="G67" i="7"/>
  <c r="K67" i="7" s="1"/>
  <c r="N67" i="7" s="1"/>
  <c r="M69" i="5"/>
  <c r="D76" i="7"/>
  <c r="F76" i="7" s="1"/>
  <c r="M76" i="5"/>
  <c r="G81" i="7"/>
  <c r="M81" i="7"/>
  <c r="L81" i="7"/>
  <c r="M85" i="5"/>
  <c r="D90" i="7"/>
  <c r="F90" i="7" s="1"/>
  <c r="M92" i="5"/>
  <c r="G97" i="7"/>
  <c r="M97" i="7"/>
  <c r="L97" i="7"/>
  <c r="M101" i="5"/>
  <c r="D106" i="7"/>
  <c r="F106" i="7" s="1"/>
  <c r="M108" i="5"/>
  <c r="G33" i="7"/>
  <c r="K33" i="7" s="1"/>
  <c r="N33" i="7" s="1"/>
  <c r="M33" i="7"/>
  <c r="L33" i="7"/>
  <c r="D42" i="7"/>
  <c r="F42" i="7" s="1"/>
  <c r="M42" i="5"/>
  <c r="G49" i="7"/>
  <c r="O26" i="3" s="1"/>
  <c r="M49" i="7"/>
  <c r="N26" i="3" s="1"/>
  <c r="L49" i="7"/>
  <c r="D58" i="7"/>
  <c r="F58" i="7" s="1"/>
  <c r="M58" i="5"/>
  <c r="G65" i="7"/>
  <c r="M65" i="7"/>
  <c r="L65" i="7"/>
  <c r="D74" i="7"/>
  <c r="F74" i="7" s="1"/>
  <c r="M74" i="5"/>
  <c r="G79" i="7"/>
  <c r="K79" i="7" s="1"/>
  <c r="N79" i="7" s="1"/>
  <c r="M79" i="7"/>
  <c r="L79" i="7"/>
  <c r="D88" i="7"/>
  <c r="F88" i="7" s="1"/>
  <c r="M90" i="5"/>
  <c r="G95" i="7"/>
  <c r="K95" i="7" s="1"/>
  <c r="N95" i="7" s="1"/>
  <c r="M95" i="7"/>
  <c r="L95" i="7"/>
  <c r="D104" i="7"/>
  <c r="F104" i="7" s="1"/>
  <c r="M106" i="5"/>
  <c r="G111" i="7"/>
  <c r="M111" i="7"/>
  <c r="K111" i="7"/>
  <c r="N111" i="7" s="1"/>
  <c r="L111" i="7"/>
  <c r="G31" i="7"/>
  <c r="M31" i="7"/>
  <c r="L31" i="7"/>
  <c r="K31" i="7"/>
  <c r="N31" i="7" s="1"/>
  <c r="M33" i="5"/>
  <c r="D40" i="7"/>
  <c r="F40" i="7" s="1"/>
  <c r="M40" i="5"/>
  <c r="G47" i="7"/>
  <c r="K47" i="7" s="1"/>
  <c r="N47" i="7" s="1"/>
  <c r="M47" i="7"/>
  <c r="L47" i="7"/>
  <c r="M49" i="5"/>
  <c r="D56" i="7"/>
  <c r="F56" i="7" s="1"/>
  <c r="M56" i="5"/>
  <c r="G63" i="7"/>
  <c r="M65" i="5"/>
  <c r="D72" i="7"/>
  <c r="F72" i="7" s="1"/>
  <c r="M72" i="5"/>
  <c r="M81" i="5"/>
  <c r="D86" i="7"/>
  <c r="F86" i="7" s="1"/>
  <c r="M88" i="5"/>
  <c r="G93" i="7"/>
  <c r="K93" i="7" s="1"/>
  <c r="N93" i="7" s="1"/>
  <c r="M93" i="7"/>
  <c r="L93" i="7"/>
  <c r="M97" i="5"/>
  <c r="D102" i="7"/>
  <c r="F102" i="7" s="1"/>
  <c r="M104" i="5"/>
  <c r="K109" i="7"/>
  <c r="N109" i="7" s="1"/>
  <c r="G109" i="7"/>
  <c r="M109" i="7"/>
  <c r="L109" i="7"/>
  <c r="M113" i="5"/>
  <c r="G9" i="7"/>
  <c r="M9" i="7"/>
  <c r="L9" i="7"/>
  <c r="M11" i="7"/>
  <c r="L11" i="7"/>
  <c r="G11" i="7"/>
  <c r="K11" i="7" s="1"/>
  <c r="N11" i="7" s="1"/>
  <c r="L13" i="7"/>
  <c r="G13" i="7"/>
  <c r="K13" i="7" s="1"/>
  <c r="N13" i="7" s="1"/>
  <c r="M13" i="7"/>
  <c r="G15" i="7"/>
  <c r="K15" i="7" s="1"/>
  <c r="N15" i="7" s="1"/>
  <c r="M15" i="7"/>
  <c r="L15" i="7"/>
  <c r="G17" i="7"/>
  <c r="K17" i="7" s="1"/>
  <c r="N17" i="7" s="1"/>
  <c r="M17" i="7"/>
  <c r="L17" i="7"/>
  <c r="L21" i="7"/>
  <c r="G21" i="7"/>
  <c r="K21" i="7" s="1"/>
  <c r="N21" i="7" s="1"/>
  <c r="M21" i="7"/>
  <c r="G23" i="7"/>
  <c r="M23" i="7"/>
  <c r="L23" i="7"/>
  <c r="M27" i="7"/>
  <c r="L27" i="7"/>
  <c r="G27" i="7"/>
  <c r="K27" i="7" s="1"/>
  <c r="N27" i="7" s="1"/>
  <c r="L29" i="7"/>
  <c r="G29" i="7"/>
  <c r="K29" i="7" s="1"/>
  <c r="N29" i="7" s="1"/>
  <c r="M29" i="7"/>
  <c r="M31" i="5"/>
  <c r="M38" i="5"/>
  <c r="D38" i="7"/>
  <c r="F38" i="7" s="1"/>
  <c r="G45" i="7"/>
  <c r="M45" i="7"/>
  <c r="L45" i="7"/>
  <c r="M47" i="5"/>
  <c r="D54" i="7"/>
  <c r="F54" i="7" s="1"/>
  <c r="M54" i="5"/>
  <c r="G61" i="7"/>
  <c r="M61" i="7"/>
  <c r="L61" i="7"/>
  <c r="M63" i="5"/>
  <c r="D70" i="7"/>
  <c r="F70" i="7" s="1"/>
  <c r="M70" i="5"/>
  <c r="G77" i="7"/>
  <c r="K77" i="7" s="1"/>
  <c r="N77" i="7" s="1"/>
  <c r="M77" i="7"/>
  <c r="L77" i="7"/>
  <c r="D84" i="7"/>
  <c r="F84" i="7" s="1"/>
  <c r="M86" i="5"/>
  <c r="M91" i="7"/>
  <c r="L91" i="7"/>
  <c r="G91" i="7"/>
  <c r="K91" i="7" s="1"/>
  <c r="N91" i="7" s="1"/>
  <c r="M95" i="5"/>
  <c r="D100" i="7"/>
  <c r="F100" i="7" s="1"/>
  <c r="M102" i="5"/>
  <c r="M107" i="7"/>
  <c r="L107" i="7"/>
  <c r="G107" i="7"/>
  <c r="K107" i="7" s="1"/>
  <c r="N107" i="7" s="1"/>
  <c r="M111" i="5"/>
  <c r="J110" i="7"/>
  <c r="F114" i="7"/>
  <c r="G113" i="7"/>
  <c r="M113" i="7"/>
  <c r="L113" i="7"/>
  <c r="K113" i="7"/>
  <c r="N113" i="7" s="1"/>
  <c r="J37" i="7"/>
  <c r="J62" i="7"/>
  <c r="J70" i="7"/>
  <c r="M118" i="7"/>
  <c r="L118" i="7"/>
  <c r="K118" i="7"/>
  <c r="N118" i="7" s="1"/>
  <c r="G118" i="7"/>
  <c r="J86" i="7"/>
  <c r="J94" i="7"/>
  <c r="G116" i="7"/>
  <c r="M116" i="7"/>
  <c r="L116" i="7"/>
  <c r="K117" i="7"/>
  <c r="N117" i="7" s="1"/>
  <c r="G117" i="7"/>
  <c r="M117" i="7"/>
  <c r="L117" i="7"/>
  <c r="M115" i="7"/>
  <c r="L115" i="7"/>
  <c r="K115" i="7"/>
  <c r="N115" i="7" s="1"/>
  <c r="G115" i="7"/>
  <c r="K59" i="7" l="1"/>
  <c r="N59" i="7" s="1"/>
  <c r="D31" i="3"/>
  <c r="K105" i="7"/>
  <c r="N105" i="7" s="1"/>
  <c r="O31" i="3"/>
  <c r="K43" i="7"/>
  <c r="N43" i="7" s="1"/>
  <c r="K7" i="7"/>
  <c r="N7" i="7" s="1"/>
  <c r="K22" i="7"/>
  <c r="N22" i="7" s="1"/>
  <c r="D26" i="3"/>
  <c r="M22" i="7"/>
  <c r="G39" i="7"/>
  <c r="K45" i="7"/>
  <c r="N45" i="7" s="1"/>
  <c r="M39" i="7"/>
  <c r="K30" i="3"/>
  <c r="G19" i="7"/>
  <c r="K19" i="7" s="1"/>
  <c r="N19" i="7" s="1"/>
  <c r="L7" i="7"/>
  <c r="K81" i="7"/>
  <c r="N81" i="7" s="1"/>
  <c r="C30" i="3"/>
  <c r="K61" i="7"/>
  <c r="N61" i="7" s="1"/>
  <c r="M19" i="7"/>
  <c r="K101" i="7"/>
  <c r="N101" i="7" s="1"/>
  <c r="K55" i="7"/>
  <c r="N55" i="7" s="1"/>
  <c r="C31" i="3"/>
  <c r="M7" i="7"/>
  <c r="K65" i="7"/>
  <c r="N65" i="7" s="1"/>
  <c r="K97" i="7"/>
  <c r="N97" i="7" s="1"/>
  <c r="L35" i="3"/>
  <c r="D30" i="3"/>
  <c r="O30" i="3"/>
  <c r="F35" i="3"/>
  <c r="K40" i="3"/>
  <c r="K25" i="7"/>
  <c r="N25" i="7" s="1"/>
  <c r="A35" i="3"/>
  <c r="K31" i="3"/>
  <c r="G37" i="7"/>
  <c r="M37" i="7"/>
  <c r="L63" i="7"/>
  <c r="K23" i="7"/>
  <c r="N23" i="7" s="1"/>
  <c r="K75" i="7"/>
  <c r="N75" i="7" s="1"/>
  <c r="K63" i="7"/>
  <c r="N63" i="7" s="1"/>
  <c r="K20" i="7"/>
  <c r="N20" i="7" s="1"/>
  <c r="G85" i="7"/>
  <c r="K85" i="7" s="1"/>
  <c r="N85" i="7" s="1"/>
  <c r="K39" i="7"/>
  <c r="N39" i="7" s="1"/>
  <c r="K9" i="7"/>
  <c r="N9" i="7" s="1"/>
  <c r="K14" i="7"/>
  <c r="N14" i="7" s="1"/>
  <c r="L71" i="7"/>
  <c r="D35" i="3"/>
  <c r="H30" i="3"/>
  <c r="K46" i="3"/>
  <c r="K48" i="3"/>
  <c r="K42" i="3"/>
  <c r="K71" i="7"/>
  <c r="N71" i="7" s="1"/>
  <c r="K43" i="3"/>
  <c r="H31" i="3"/>
  <c r="L30" i="3"/>
  <c r="P30" i="3"/>
  <c r="K50" i="3"/>
  <c r="L25" i="7"/>
  <c r="M71" i="7"/>
  <c r="A26" i="3"/>
  <c r="H35" i="3"/>
  <c r="L31" i="3"/>
  <c r="P31" i="3"/>
  <c r="M25" i="7"/>
  <c r="G30" i="3"/>
  <c r="K45" i="3"/>
  <c r="O35" i="3"/>
  <c r="K41" i="3"/>
  <c r="K37" i="7"/>
  <c r="N37" i="7" s="1"/>
  <c r="G31" i="3"/>
  <c r="G26" i="3"/>
  <c r="K47" i="3"/>
  <c r="G114" i="7"/>
  <c r="L114" i="7"/>
  <c r="K114" i="7"/>
  <c r="N114" i="7" s="1"/>
  <c r="M114" i="7"/>
  <c r="G58" i="7"/>
  <c r="L58" i="7"/>
  <c r="K58" i="7"/>
  <c r="N58" i="7" s="1"/>
  <c r="M58" i="7"/>
  <c r="N6" i="7"/>
  <c r="M62" i="7"/>
  <c r="L62" i="7"/>
  <c r="G62" i="7"/>
  <c r="K62" i="7" s="1"/>
  <c r="N62" i="7" s="1"/>
  <c r="L64" i="7"/>
  <c r="M64" i="7"/>
  <c r="G64" i="7"/>
  <c r="K64" i="7" s="1"/>
  <c r="N64" i="7" s="1"/>
  <c r="L72" i="7"/>
  <c r="M72" i="7"/>
  <c r="G72" i="7"/>
  <c r="K72" i="7" s="1"/>
  <c r="N72" i="7" s="1"/>
  <c r="M110" i="7"/>
  <c r="L110" i="7"/>
  <c r="K110" i="7"/>
  <c r="N110" i="7" s="1"/>
  <c r="G110" i="7"/>
  <c r="G42" i="7"/>
  <c r="K42" i="7" s="1"/>
  <c r="N42" i="7" s="1"/>
  <c r="L42" i="7"/>
  <c r="M42" i="7"/>
  <c r="M78" i="7"/>
  <c r="L78" i="7"/>
  <c r="K78" i="7"/>
  <c r="N78" i="7" s="1"/>
  <c r="G78" i="7"/>
  <c r="L96" i="7"/>
  <c r="M96" i="7"/>
  <c r="G96" i="7"/>
  <c r="K96" i="7" s="1"/>
  <c r="N96" i="7" s="1"/>
  <c r="L34" i="7"/>
  <c r="G34" i="7"/>
  <c r="K34" i="7" s="1"/>
  <c r="N34" i="7" s="1"/>
  <c r="M34" i="7"/>
  <c r="G98" i="7"/>
  <c r="K98" i="7" s="1"/>
  <c r="N98" i="7" s="1"/>
  <c r="L98" i="7"/>
  <c r="M98" i="7"/>
  <c r="G36" i="7"/>
  <c r="K36" i="7" s="1"/>
  <c r="N36" i="7" s="1"/>
  <c r="M36" i="7"/>
  <c r="L36" i="7"/>
  <c r="M70" i="7"/>
  <c r="L70" i="7"/>
  <c r="G70" i="7"/>
  <c r="K70" i="7" s="1"/>
  <c r="N70" i="7" s="1"/>
  <c r="L104" i="7"/>
  <c r="M104" i="7"/>
  <c r="G104" i="7"/>
  <c r="K104" i="7" s="1"/>
  <c r="N104" i="7" s="1"/>
  <c r="G84" i="7"/>
  <c r="K84" i="7" s="1"/>
  <c r="N84" i="7" s="1"/>
  <c r="M84" i="7"/>
  <c r="L84" i="7"/>
  <c r="G92" i="7"/>
  <c r="K92" i="7" s="1"/>
  <c r="N92" i="7" s="1"/>
  <c r="M92" i="7"/>
  <c r="L92" i="7"/>
  <c r="L112" i="7"/>
  <c r="K112" i="7"/>
  <c r="N112" i="7" s="1"/>
  <c r="M112" i="7"/>
  <c r="G112" i="7"/>
  <c r="G50" i="7"/>
  <c r="K50" i="7" s="1"/>
  <c r="N50" i="7" s="1"/>
  <c r="L50" i="7"/>
  <c r="M50" i="7"/>
  <c r="G52" i="7"/>
  <c r="K52" i="7" s="1"/>
  <c r="N52" i="7" s="1"/>
  <c r="M52" i="7"/>
  <c r="L52" i="7"/>
  <c r="K49" i="7"/>
  <c r="G60" i="7"/>
  <c r="K60" i="7" s="1"/>
  <c r="N60" i="7" s="1"/>
  <c r="M60" i="7"/>
  <c r="L60" i="7"/>
  <c r="M32" i="7"/>
  <c r="L32" i="7"/>
  <c r="G32" i="7"/>
  <c r="K32" i="7" s="1"/>
  <c r="N32" i="7" s="1"/>
  <c r="G74" i="7"/>
  <c r="L74" i="7"/>
  <c r="K74" i="7"/>
  <c r="N74" i="7" s="1"/>
  <c r="M74" i="7"/>
  <c r="G66" i="7"/>
  <c r="K66" i="7" s="1"/>
  <c r="N66" i="7" s="1"/>
  <c r="L66" i="7"/>
  <c r="M66" i="7"/>
  <c r="G68" i="7"/>
  <c r="K68" i="7" s="1"/>
  <c r="N68" i="7" s="1"/>
  <c r="M68" i="7"/>
  <c r="L68" i="7"/>
  <c r="G100" i="7"/>
  <c r="K100" i="7" s="1"/>
  <c r="N100" i="7" s="1"/>
  <c r="M100" i="7"/>
  <c r="L100" i="7"/>
  <c r="G44" i="7"/>
  <c r="K44" i="7" s="1"/>
  <c r="N44" i="7" s="1"/>
  <c r="M44" i="7"/>
  <c r="L44" i="7"/>
  <c r="M38" i="7"/>
  <c r="G38" i="7"/>
  <c r="K38" i="7" s="1"/>
  <c r="N38" i="7" s="1"/>
  <c r="L38" i="7"/>
  <c r="M86" i="7"/>
  <c r="L86" i="7"/>
  <c r="G86" i="7"/>
  <c r="K86" i="7" s="1"/>
  <c r="N86" i="7" s="1"/>
  <c r="G76" i="7"/>
  <c r="M76" i="7"/>
  <c r="L76" i="7"/>
  <c r="K76" i="7"/>
  <c r="N76" i="7" s="1"/>
  <c r="M102" i="7"/>
  <c r="L102" i="7"/>
  <c r="G102" i="7"/>
  <c r="K102" i="7" s="1"/>
  <c r="N102" i="7" s="1"/>
  <c r="L40" i="7"/>
  <c r="M40" i="7"/>
  <c r="G40" i="7"/>
  <c r="K40" i="7" s="1"/>
  <c r="N40" i="7" s="1"/>
  <c r="G90" i="7"/>
  <c r="K90" i="7" s="1"/>
  <c r="N90" i="7" s="1"/>
  <c r="L90" i="7"/>
  <c r="M90" i="7"/>
  <c r="G30" i="7"/>
  <c r="K30" i="7" s="1"/>
  <c r="N30" i="7" s="1"/>
  <c r="M30" i="7"/>
  <c r="L30" i="7"/>
  <c r="M94" i="7"/>
  <c r="L94" i="7"/>
  <c r="G94" i="7"/>
  <c r="K94" i="7" s="1"/>
  <c r="N94" i="7" s="1"/>
  <c r="L48" i="7"/>
  <c r="M48" i="7"/>
  <c r="G48" i="7"/>
  <c r="K48" i="7" s="1"/>
  <c r="N48" i="7" s="1"/>
  <c r="G108" i="7"/>
  <c r="M108" i="7"/>
  <c r="L108" i="7"/>
  <c r="K108" i="7"/>
  <c r="N108" i="7" s="1"/>
  <c r="M54" i="7"/>
  <c r="L54" i="7"/>
  <c r="G54" i="7"/>
  <c r="K54" i="7" s="1"/>
  <c r="N54" i="7" s="1"/>
  <c r="L56" i="7"/>
  <c r="M56" i="7"/>
  <c r="G56" i="7"/>
  <c r="K56" i="7" s="1"/>
  <c r="N56" i="7" s="1"/>
  <c r="L88" i="7"/>
  <c r="M88" i="7"/>
  <c r="G88" i="7"/>
  <c r="K88" i="7" s="1"/>
  <c r="N88" i="7" s="1"/>
  <c r="G106" i="7"/>
  <c r="K106" i="7" s="1"/>
  <c r="N106" i="7" s="1"/>
  <c r="L106" i="7"/>
  <c r="M106" i="7"/>
  <c r="M46" i="7"/>
  <c r="L46" i="7"/>
  <c r="G46" i="7"/>
  <c r="K46" i="7" s="1"/>
  <c r="N46" i="7" s="1"/>
  <c r="L80" i="7"/>
  <c r="M80" i="7"/>
  <c r="G80" i="7"/>
  <c r="K80" i="7" s="1"/>
  <c r="N80" i="7" s="1"/>
  <c r="G82" i="7"/>
  <c r="K82" i="7" s="1"/>
  <c r="N82" i="7" s="1"/>
  <c r="L82" i="7"/>
  <c r="M82" i="7"/>
  <c r="A51" i="3" l="1"/>
  <c r="H11" i="1"/>
  <c r="H12" i="1"/>
  <c r="I12" i="1"/>
  <c r="I13" i="1"/>
  <c r="G13" i="1"/>
  <c r="J13" i="1" s="1"/>
  <c r="I11" i="1"/>
  <c r="M5" i="1"/>
  <c r="G12" i="1"/>
  <c r="J12" i="1" s="1"/>
  <c r="O5" i="1"/>
  <c r="N49" i="7"/>
  <c r="J26" i="3"/>
  <c r="K5" i="1"/>
  <c r="H13" i="1"/>
  <c r="G11" i="1"/>
  <c r="J11" i="1" s="1"/>
</calcChain>
</file>

<file path=xl/sharedStrings.xml><?xml version="1.0" encoding="utf-8"?>
<sst xmlns="http://schemas.openxmlformats.org/spreadsheetml/2006/main" count="1081" uniqueCount="284">
  <si>
    <t>⚙️  SEMESTER SETUP  —  Define Your Semesters Here</t>
  </si>
  <si>
    <t>👥  CES STUDENT REGISTER  —  Citizens Elementary School</t>
  </si>
  <si>
    <t>✝️   CITIZENS ELEMENTARY SCHOOL  —  DISCIPLESHIP TRAINING PROGRAMME</t>
  </si>
  <si>
    <t>Define semester names here. The Student Register semester dropdown and Dashboard summaries reference this sheet.</t>
  </si>
  <si>
    <t>📌  Fill in the YELLOW cells only. Semester Name must exactly match what you enter in the Student Register. Add rows as needed.</t>
  </si>
  <si>
    <t>🔍  STUDENT LOOKUP  —  Search by Matric No., First Name, or Surname</t>
  </si>
  <si>
    <t>#</t>
  </si>
  <si>
    <t>Matric format: CES/ILR/YY[SemCode]/NNN  |  Semester selected from dropdown (defined in ⚙️ Semester Setup)  |  Columns A–U = CES Registration Form  |  Columns V–AD = Admin fields</t>
  </si>
  <si>
    <t>Semester Name</t>
  </si>
  <si>
    <t>Semesters defined in ⚙️ Semester Setup. Counts auto-update from the Student Register. Scoring: 8 quizzes × 5 = 40 marks + Final Exam 60 = 100 total. Pass mark = 50.</t>
  </si>
  <si>
    <t>Type</t>
  </si>
  <si>
    <t>Start Date</t>
  </si>
  <si>
    <t>End Date</t>
  </si>
  <si>
    <t>Year</t>
  </si>
  <si>
    <t>Active?</t>
  </si>
  <si>
    <t>Notes</t>
  </si>
  <si>
    <t>Type in the YELLOW search box below. Full profile + quiz scores + exam + attendance + outstanding items all appear automatically.</t>
  </si>
  <si>
    <t>Semester 1 — 2026</t>
  </si>
  <si>
    <t>Total
Students</t>
  </si>
  <si>
    <t>◀  REGISTRATION FORM FIELDS  (A–U)  ▶</t>
  </si>
  <si>
    <t>Active</t>
  </si>
  <si>
    <t>🔎  SEARCH</t>
  </si>
  <si>
    <t>Regular</t>
  </si>
  <si>
    <t>Graduated</t>
  </si>
  <si>
    <t>2026-06-01</t>
  </si>
  <si>
    <t>Enter Matric No., Surname or First Name — results appear instantly below</t>
  </si>
  <si>
    <t>2026-08-31</t>
  </si>
  <si>
    <t>2026</t>
  </si>
  <si>
    <t>Deferred</t>
  </si>
  <si>
    <t>No</t>
  </si>
  <si>
    <t>Sunday
Cohort</t>
  </si>
  <si>
    <t>Initial cohort</t>
  </si>
  <si>
    <t>Search:</t>
  </si>
  <si>
    <t>✅ Graduates</t>
  </si>
  <si>
    <t>Ayodele</t>
  </si>
  <si>
    <t>Sunday Cohort — 2026</t>
  </si>
  <si>
    <t>❌ Not Yet</t>
  </si>
  <si>
    <t>Sunday Cohort</t>
  </si>
  <si>
    <t>⏳ Pending</t>
  </si>
  <si>
    <t>Yes</t>
  </si>
  <si>
    <t>Meets every Sunday</t>
  </si>
  <si>
    <t>Matric No.</t>
  </si>
  <si>
    <t>Semester 3 — 2026</t>
  </si>
  <si>
    <t>Surname</t>
  </si>
  <si>
    <t>First Name</t>
  </si>
  <si>
    <t>Middle Name</t>
  </si>
  <si>
    <t>Phone Number</t>
  </si>
  <si>
    <t>WhatsApp Number</t>
  </si>
  <si>
    <t>Every day of the week (morning and Evening) except Wednesday</t>
  </si>
  <si>
    <t>Email Address</t>
  </si>
  <si>
    <t>Permanent Address</t>
  </si>
  <si>
    <t>Gender</t>
  </si>
  <si>
    <t>Marital Status</t>
  </si>
  <si>
    <t>Educational Level</t>
  </si>
  <si>
    <t>Born Again?</t>
  </si>
  <si>
    <t>Baptised in H.S.?</t>
  </si>
  <si>
    <t>Unit of Interest</t>
  </si>
  <si>
    <t>← row# (internal)</t>
  </si>
  <si>
    <t>Years as Christian</t>
  </si>
  <si>
    <t>Previously Served?</t>
  </si>
  <si>
    <t>Prev. Service Details</t>
  </si>
  <si>
    <t>Gifts / Skills</t>
  </si>
  <si>
    <t>Attended Mem. &amp; Vision?</t>
  </si>
  <si>
    <t>Committed to Programme?</t>
  </si>
  <si>
    <t>Comments/Enquiries</t>
  </si>
  <si>
    <t>Semester</t>
  </si>
  <si>
    <t>Cohort Type</t>
  </si>
  <si>
    <t>Status</t>
  </si>
  <si>
    <t>Occupation</t>
  </si>
  <si>
    <t>Emergency Contact</t>
  </si>
  <si>
    <t>Emergency Contact Phone</t>
  </si>
  <si>
    <t>CES/ILR/26S1902</t>
  </si>
  <si>
    <t>👤  STUDENT PROFILE</t>
  </si>
  <si>
    <t>enrolled</t>
  </si>
  <si>
    <t>students</t>
  </si>
  <si>
    <t>CES/ILR/26S1903</t>
  </si>
  <si>
    <t>📋  SEMESTER SUMMARY  —  Results per Defined Semester</t>
  </si>
  <si>
    <t>ℹ️  Add more semesters in ⚙️ Semester Setup and add matching Quiz/Exam/Results tabs. Counts in columns C–F auto-update from the Student Register.</t>
  </si>
  <si>
    <t>Enrolled</t>
  </si>
  <si>
    <t>Phone</t>
  </si>
  <si>
    <t>Pass Rate</t>
  </si>
  <si>
    <t>CES/ILR/26S1904</t>
  </si>
  <si>
    <t>WhatsApp</t>
  </si>
  <si>
    <t>Email</t>
  </si>
  <si>
    <t>CES/ILR/26S1905</t>
  </si>
  <si>
    <t>Address</t>
  </si>
  <si>
    <t>CES/ILR/26S1906</t>
  </si>
  <si>
    <t>CES/ILR/26S1907</t>
  </si>
  <si>
    <t>CES/ILR/26S1908</t>
  </si>
  <si>
    <t>CES/ILR/26S1909</t>
  </si>
  <si>
    <t>Baptised H.S.?</t>
  </si>
  <si>
    <t>📝  S1 QUIZ GRADES  |  8 Courses × max 5 marks = 40 Total  |  🔒 Total is auto-computed</t>
  </si>
  <si>
    <t>⚠️  RULES: Enter whole numbers 0–5 only (max 5 per course). Entering above 5 is BLOCKED by validation. QUIZ TOTAL (purple) is a formula — you cannot type into it.</t>
  </si>
  <si>
    <t>🟡 Yellow = enter quiz scores here (0–5)     🟣 Purple = auto-calculated, locked — do not type</t>
  </si>
  <si>
    <t>CES/ILR/26S1910</t>
  </si>
  <si>
    <t>MAX →</t>
  </si>
  <si>
    <t>← MAX</t>
  </si>
  <si>
    <t>CES/ILR/26S1911</t>
  </si>
  <si>
    <t>Salvation</t>
  </si>
  <si>
    <t>Righteousness</t>
  </si>
  <si>
    <t>Word of God</t>
  </si>
  <si>
    <t>Love Walk</t>
  </si>
  <si>
    <t>Service</t>
  </si>
  <si>
    <t>Spiritual Authority</t>
  </si>
  <si>
    <t>Holy Spirit</t>
  </si>
  <si>
    <t>Prev. Served?</t>
  </si>
  <si>
    <t>Prayer</t>
  </si>
  <si>
    <t>📐  SCORING STRUCTURE</t>
  </si>
  <si>
    <t>QUIZ TOTAL
(/40)</t>
  </si>
  <si>
    <t>% Score</t>
  </si>
  <si>
    <t>CES/ILR/26S1901</t>
  </si>
  <si>
    <t>CES/ILR/26S1912</t>
  </si>
  <si>
    <t>Graded Courses (8)</t>
  </si>
  <si>
    <t>Quiz per course: 5 marks each → 8 × 5 = 40 marks total</t>
  </si>
  <si>
    <t>Emg. Phone</t>
  </si>
  <si>
    <t>Final Examination</t>
  </si>
  <si>
    <t>Written exam graded over 60 marks</t>
  </si>
  <si>
    <t>CES/ILR/26S1913</t>
  </si>
  <si>
    <t>Cumulative Total</t>
  </si>
  <si>
    <t>Quiz total (40) + Final Exam (60) = 100 marks  |  Pass mark = 50</t>
  </si>
  <si>
    <t>Attendance Courses (2)</t>
  </si>
  <si>
    <t>Elementary Principles + Membership &amp; Vision Class — attendance required, not graded</t>
  </si>
  <si>
    <t>📊  ACADEMIC RESULTS</t>
  </si>
  <si>
    <t>📋  WORKBOOK GUIDE</t>
  </si>
  <si>
    <t>CES/ILR/26S1914</t>
  </si>
  <si>
    <t>⚙️ Semester Setup</t>
  </si>
  <si>
    <t>All values below are pulled live from the Quiz and Exam sheets for the student shown in row 8. ⬜ = not entered   ❌ = not attended / failed   ✅ = completed</t>
  </si>
  <si>
    <t>Define semester names here — they feed the Student Register dropdown and Dashboard</t>
  </si>
  <si>
    <t>👥 All Students</t>
  </si>
  <si>
    <t>Quiz Total
(/40)</t>
  </si>
  <si>
    <t>Full student register matching CES Registration Form (A–U) + admin fields (V–AD)</t>
  </si>
  <si>
    <t>Final Exam
(/60)</t>
  </si>
  <si>
    <t>CES/ILR/26S1915</t>
  </si>
  <si>
    <t>TOTAL
(/100)</t>
  </si>
  <si>
    <t>📝 S1 Quiz</t>
  </si>
  <si>
    <t>Quiz grades — 8 courses, max 5 each. TOTAL is auto-computed. Above 5 is BLOCKED.</t>
  </si>
  <si>
    <t>Graduation
Status</t>
  </si>
  <si>
    <t>Honour</t>
  </si>
  <si>
    <t>Score ≥50?</t>
  </si>
  <si>
    <t>📄 S1 Exam</t>
  </si>
  <si>
    <t>Final exam (max 60, BLOCKED if exceeded) + attendance. Computed columns are locked.</t>
  </si>
  <si>
    <t>🎓 S1 Results</t>
  </si>
  <si>
    <t>All results auto-computed from Quiz and Exam. Matric in col A is the only input.</t>
  </si>
  <si>
    <t>CES/ILR/26S1916</t>
  </si>
  <si>
    <t>🔍 Student Lookup</t>
  </si>
  <si>
    <t>Search by matric, name or surname → profile + quiz + exam + outstanding items</t>
  </si>
  <si>
    <t>📊 Dashboard</t>
  </si>
  <si>
    <t>This sheet — KPIs and semester summaries</t>
  </si>
  <si>
    <t>CES/ILR/26S1917</t>
  </si>
  <si>
    <t>📝  QUIZ SCORES BY COURSE  (max 5 per course)</t>
  </si>
  <si>
    <t>CES/ILR/26S1918</t>
  </si>
  <si>
    <t>Course</t>
  </si>
  <si>
    <t>Score</t>
  </si>
  <si>
    <t>CES/ILR/26S1919</t>
  </si>
  <si>
    <t>CES/ILR/26S1920</t>
  </si>
  <si>
    <t>CES/ILR/26S1921</t>
  </si>
  <si>
    <t>CES/ILR/26S1922</t>
  </si>
  <si>
    <t>CES/ILR/26S1923</t>
  </si>
  <si>
    <t>CES/ILR/26S1924</t>
  </si>
  <si>
    <t>CES/ILR/26S1925</t>
  </si>
  <si>
    <t>CES/ILR/26S1927</t>
  </si>
  <si>
    <t>Prayers</t>
  </si>
  <si>
    <t>CES/ILR/26S1928</t>
  </si>
  <si>
    <t>📄  S1 FINAL EXAM &amp; ATTENDANCE  |  Exam max = 60  |  🔒 Computed columns are locked</t>
  </si>
  <si>
    <t>⚠️  RULES: Exam score must be 0–60 (whole numbers only). Entering above 60 is BLOCKED. Attendance = dropdown. Purple/locked columns compute automatically.</t>
  </si>
  <si>
    <t>🟡 Yellow = input cells (exam score + attendance)     🟣 Purple = auto-calculated, locked</t>
  </si>
  <si>
    <t>CES/ILR/26S1929</t>
  </si>
  <si>
    <t>Required</t>
  </si>
  <si>
    <t>Elementary
Principles</t>
  </si>
  <si>
    <t>Membership &amp;
Vision Class</t>
  </si>
  <si>
    <t>Exam %</t>
  </si>
  <si>
    <t>Attendance Status</t>
  </si>
  <si>
    <t>Pass? (≥30)</t>
  </si>
  <si>
    <t>CES/ILR/26S1930</t>
  </si>
  <si>
    <t>📄  FINAL EXAM &amp; ATTENDANCE</t>
  </si>
  <si>
    <t>CES/ILR/26S1931</t>
  </si>
  <si>
    <t>Exam Pass?</t>
  </si>
  <si>
    <t>Excused</t>
  </si>
  <si>
    <t>CES/ILR/26S1932</t>
  </si>
  <si>
    <t>CES/ILR/26S1933</t>
  </si>
  <si>
    <t>Attended</t>
  </si>
  <si>
    <t>Not Attended</t>
  </si>
  <si>
    <t>CES/ILR/26S1934</t>
  </si>
  <si>
    <t>⚠️  OUTSTANDING ITEMS  —  Only incomplete items are shown</t>
  </si>
  <si>
    <t>Items that are done (✅) show blank. Only ⬜ not entered and ❌ not attended appear here.</t>
  </si>
  <si>
    <t>CES/ILR/26S1935</t>
  </si>
  <si>
    <t>Item</t>
  </si>
  <si>
    <t>Quiz</t>
  </si>
  <si>
    <t>CES/ILR/26S1936</t>
  </si>
  <si>
    <t>CES/ILR/26S1937</t>
  </si>
  <si>
    <t>CES/ILR/26S1938</t>
  </si>
  <si>
    <t>CES/ILR/26S1939</t>
  </si>
  <si>
    <t>CES/ILR/26S1940</t>
  </si>
  <si>
    <t>CES/ILR/26S1941</t>
  </si>
  <si>
    <t>Elementary Principles</t>
  </si>
  <si>
    <t>Attendance</t>
  </si>
  <si>
    <t>CES/ILR/26S1942</t>
  </si>
  <si>
    <t>Vision &amp; Membership Class</t>
  </si>
  <si>
    <t>CES/ILR/26S1943</t>
  </si>
  <si>
    <t>Final Exam</t>
  </si>
  <si>
    <t>Exam</t>
  </si>
  <si>
    <t>CES/ILR/26S1944</t>
  </si>
  <si>
    <t>CES/ILR/26S1945</t>
  </si>
  <si>
    <t>CES/ILR/26S1946</t>
  </si>
  <si>
    <t>CES/ILR/26S1947</t>
  </si>
  <si>
    <t>CES/ILR/26S1948</t>
  </si>
  <si>
    <t>CES/ILR/26S1949</t>
  </si>
  <si>
    <t>CES/ILR/26S1950</t>
  </si>
  <si>
    <t>CES/ILR/26S1926</t>
  </si>
  <si>
    <t>CES/ILR/26S1951</t>
  </si>
  <si>
    <t>CES/ILR/26S1953</t>
  </si>
  <si>
    <t>CES/ILR/26S1954</t>
  </si>
  <si>
    <t>CES/ILR/26S1955</t>
  </si>
  <si>
    <t>CES/ILR/26S1956</t>
  </si>
  <si>
    <t>CES/ILR/26S1957</t>
  </si>
  <si>
    <t>CES/ILR/26S1958</t>
  </si>
  <si>
    <t>CES/ILR/26S1959</t>
  </si>
  <si>
    <t>🎓  S1 GRADUATION ELIGIBILITY  |  Pass = 50/100 + Both Attendance Courses  |  🔒 All columns auto-computed</t>
  </si>
  <si>
    <t>All values are computed from the Quiz and Exam sheets. Enter matric numbers in column A. All other columns are locked formulas.</t>
  </si>
  <si>
    <t>🟡 Matric No. only — enter in column A     🟣 All other columns = auto-computed (locked)</t>
  </si>
  <si>
    <t>CES/ILR/26S1960</t>
  </si>
  <si>
    <t>Score
≥50?</t>
  </si>
  <si>
    <t>Elem.
Principles</t>
  </si>
  <si>
    <t>Mem. &amp;
Vision</t>
  </si>
  <si>
    <t>Attendance
Complete?</t>
  </si>
  <si>
    <t>🎓 STATUS</t>
  </si>
  <si>
    <t>CES/ILR/26S1961</t>
  </si>
  <si>
    <t>Score %</t>
  </si>
  <si>
    <t>Honour Class</t>
  </si>
  <si>
    <t>CES/ILR/26S1962</t>
  </si>
  <si>
    <t>CES/ILR/26S1963</t>
  </si>
  <si>
    <t>CES/ILR/2026D/423</t>
  </si>
  <si>
    <t>CES/ILR/26S1965</t>
  </si>
  <si>
    <t>CES/ILR/26S1967</t>
  </si>
  <si>
    <t>CES/ILR/26S1968</t>
  </si>
  <si>
    <t>CES/ILR/26S1970</t>
  </si>
  <si>
    <t>CES/ILR/26S1972</t>
  </si>
  <si>
    <t>CES/ILR/26S1974</t>
  </si>
  <si>
    <t>CES/ILR/26H801</t>
  </si>
  <si>
    <t>CES/ILR/26H802</t>
  </si>
  <si>
    <t>CES/ILR/26H803</t>
  </si>
  <si>
    <t>CES/ILR/26H804</t>
  </si>
  <si>
    <t>CES/ILR/26S1952</t>
  </si>
  <si>
    <t>CES/ILR/26H805</t>
  </si>
  <si>
    <t>CES/ILR/26H806</t>
  </si>
  <si>
    <t>CES/ILR/26H807</t>
  </si>
  <si>
    <t>CES/ILR/26H808</t>
  </si>
  <si>
    <t>CES/ILR/26H809</t>
  </si>
  <si>
    <t>CES/ILR/26H810</t>
  </si>
  <si>
    <t>CES/ILR/26H811</t>
  </si>
  <si>
    <t>CES/ILR/26H812</t>
  </si>
  <si>
    <t>CES/ILR/26H813</t>
  </si>
  <si>
    <t>CES/ILR/26S1964</t>
  </si>
  <si>
    <t>CES/ILR/26H814</t>
  </si>
  <si>
    <t>CES/ILR/26S1966</t>
  </si>
  <si>
    <t>CES/ILR/26H815</t>
  </si>
  <si>
    <t>CES/ILR/26H816</t>
  </si>
  <si>
    <t>CES/ILR/26H817</t>
  </si>
  <si>
    <t>CES/ILR/26S1969</t>
  </si>
  <si>
    <t>CES/ILR/26H818</t>
  </si>
  <si>
    <t>CES/ILR/26S1971</t>
  </si>
  <si>
    <t>CES/ILR/26H819</t>
  </si>
  <si>
    <t>CES/ILR/26H820</t>
  </si>
  <si>
    <t>CES/ILR/26H821</t>
  </si>
  <si>
    <t>CES/ILR/26H823</t>
  </si>
  <si>
    <t>CES/ILR/26H824</t>
  </si>
  <si>
    <t>CES/ILR/26H825</t>
  </si>
  <si>
    <t>CES/ILR/26H826</t>
  </si>
  <si>
    <t>CES/ILR/26H822</t>
  </si>
  <si>
    <t>CES/ILR/26H827</t>
  </si>
  <si>
    <t>CES/ILR/26H828</t>
  </si>
  <si>
    <t>CES/ILR/26H829</t>
  </si>
  <si>
    <t>CES/ILR/26S1973</t>
  </si>
  <si>
    <t>CES/ILR/26H830</t>
  </si>
  <si>
    <t>CES/ILR/26H831</t>
  </si>
  <si>
    <t>CES/ILR/26H832</t>
  </si>
  <si>
    <t>CES/ILR/26H833</t>
  </si>
  <si>
    <t>CES/ILR/26H834</t>
  </si>
  <si>
    <t>CES/ILR/26H835</t>
  </si>
  <si>
    <t>CES/ILR/26H836</t>
  </si>
  <si>
    <t>CES/ILR/26H837</t>
  </si>
  <si>
    <t>CES/ILR/26H838</t>
  </si>
  <si>
    <t>CES/ILR/26H839</t>
  </si>
  <si>
    <t>CES/ILR/26H840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</si>
</sst>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2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1"/>
      <color rgb="FFFFFFFF"/>
      <name val="Roboto"/>
    </font>
    <font>
      <sz val="9"/>
      <color rgb="FF2E1040"/>
      <name val="Arial"/>
    </font>
    <font>
      <sz val="10"/>
      <color rgb="FF2E1040"/>
      <name val="Arial"/>
    </font>
    <font>
      <b/>
      <sz val="10"/>
      <color rgb="FFFFFFFF"/>
      <name val="Arial"/>
    </font>
    <font>
      <sz val="11"/>
      <color rgb="FF555555"/>
      <name val="Roboto"/>
    </font>
    <font>
      <sz val="9"/>
      <color rgb="FF555555"/>
      <name val="Arial"/>
    </font>
    <font>
      <sz val="10"/>
      <color rgb="FF555555"/>
      <name val="Arial"/>
    </font>
    <font>
      <sz val="9"/>
      <color rgb="FF006064"/>
      <name val="Arial"/>
    </font>
    <font>
      <b/>
      <sz val="11"/>
      <color rgb="FF2E1040"/>
      <name val="Arial"/>
    </font>
    <font>
      <b/>
      <sz val="9"/>
      <color rgb="FFFFFFFF"/>
      <name val="Arial"/>
    </font>
    <font>
      <b/>
      <sz val="10"/>
      <color rgb="FF2E1040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1E5631"/>
      <name val="Arial"/>
    </font>
    <font>
      <sz val="11"/>
      <color theme="1"/>
      <name val="Calibri"/>
    </font>
    <font>
      <b/>
      <sz val="14"/>
      <color rgb="FF2E1040"/>
      <name val="Arial"/>
    </font>
    <font>
      <b/>
      <sz val="10"/>
      <color rgb="FFE65100"/>
      <name val="Arial"/>
    </font>
    <font>
      <b/>
      <sz val="10"/>
      <color rgb="FFCC6600"/>
      <name val="Arial"/>
    </font>
    <font>
      <b/>
      <sz val="22"/>
      <color rgb="FFFFFFFF"/>
      <name val="Arial"/>
    </font>
    <font>
      <sz val="8"/>
      <color rgb="FF555555"/>
      <name val="Arial"/>
    </font>
    <font>
      <sz val="11"/>
      <color rgb="FF434343"/>
      <name val="Roboto"/>
    </font>
    <font>
      <b/>
      <sz val="10"/>
      <color rgb="FF8B0000"/>
      <name val="Arial"/>
    </font>
    <font>
      <b/>
      <sz val="12"/>
      <color rgb="FF2E1040"/>
      <name val="Arial"/>
    </font>
    <font>
      <sz val="8"/>
      <color rgb="FFFFFFFF"/>
      <name val="Arial"/>
    </font>
    <font>
      <sz val="11"/>
      <color rgb="FF000000"/>
      <name val="Roboto"/>
    </font>
    <font>
      <sz val="10"/>
      <color theme="1"/>
      <name val="Arial"/>
    </font>
    <font>
      <sz val="11"/>
      <color theme="1"/>
      <name val="Roboto"/>
    </font>
    <font>
      <b/>
      <sz val="10"/>
      <color rgb="FF555555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9"/>
      <color rgb="FF2E1040"/>
      <name val="Arial"/>
    </font>
    <font>
      <sz val="12"/>
      <color rgb="FF000000"/>
      <name val="Arial"/>
    </font>
    <font>
      <sz val="10"/>
      <color rgb="FFFFFFFF"/>
      <name val="Arial"/>
    </font>
    <font>
      <sz val="12"/>
      <color rgb="FF000000"/>
      <name val="Roboto"/>
    </font>
    <font>
      <b/>
      <sz val="12"/>
      <color rgb="FFFFFFFF"/>
      <name val="Roboto"/>
    </font>
    <font>
      <sz val="12"/>
      <color rgb="FFFFFFFF"/>
      <name val="Roboto"/>
    </font>
    <font>
      <sz val="12"/>
      <color theme="1"/>
      <name val="Roboto"/>
    </font>
    <font>
      <b/>
      <sz val="15"/>
      <color rgb="FF2E1040"/>
      <name val="Arial"/>
    </font>
    <font>
      <b/>
      <sz val="15"/>
      <color rgb="FFB8860B"/>
      <name val="Arial"/>
    </font>
    <font>
      <b/>
      <sz val="15"/>
      <color rgb="FF1E5631"/>
      <name val="Arial"/>
    </font>
    <font>
      <sz val="12"/>
      <color theme="1"/>
      <name val="Arial"/>
    </font>
    <font>
      <sz val="11"/>
      <color theme="1"/>
      <name val="Arial"/>
    </font>
    <font>
      <b/>
      <sz val="13"/>
      <color rgb="FFB8860B"/>
      <name val="Arial"/>
    </font>
    <font>
      <b/>
      <sz val="13"/>
      <color rgb="FF2E1040"/>
      <name val="Arial"/>
    </font>
    <font>
      <b/>
      <sz val="13"/>
      <color rgb="FFCC6600"/>
      <name val="Arial"/>
    </font>
    <font>
      <sz val="9"/>
      <color rgb="FFCC6600"/>
      <name val="Arial"/>
    </font>
    <font>
      <b/>
      <sz val="9"/>
      <color rgb="FF006064"/>
      <name val="Arial"/>
    </font>
    <font>
      <b/>
      <sz val="9"/>
      <color rgb="FFB8860B"/>
      <name val="Arial"/>
    </font>
    <font>
      <b/>
      <sz val="11"/>
      <color rgb="FF1E5631"/>
      <name val="Arial"/>
    </font>
    <font>
      <b/>
      <sz val="10"/>
      <color rgb="FFB8860B"/>
      <name val="Arial"/>
    </font>
    <font>
      <b/>
      <sz val="13"/>
      <color rgb="FF1E5631"/>
      <name val="Arial"/>
    </font>
    <font>
      <sz val="10"/>
      <color rgb="FFB8860B"/>
      <name val="Arial"/>
    </font>
    <font>
      <b/>
      <sz val="12"/>
      <color rgb="FF1E5631"/>
      <name val="Arial"/>
    </font>
    <font>
      <sz val="10"/>
      <color rgb="FF006064"/>
      <name val="Arial"/>
    </font>
    <font>
      <sz val="11"/>
      <color theme="1"/>
      <name val="Liberation Serif"/>
    </font>
    <font>
      <sz val="11"/>
      <color theme="1"/>
      <name val="Arial"/>
    </font>
    <font>
      <sz val="9"/>
      <color rgb="FF000000"/>
      <name val="Arial"/>
    </font>
    <font>
      <b/>
      <sz val="11"/>
      <color rgb="FF000000"/>
      <name val="Roboto"/>
    </font>
    <font>
      <sz val="11"/>
      <color theme="1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2E1040"/>
        <bgColor rgb="FF2E1040"/>
      </patternFill>
    </fill>
    <fill>
      <patternFill patternType="solid">
        <fgColor rgb="FF4A235A"/>
        <bgColor rgb="FF4A235A"/>
      </patternFill>
    </fill>
    <fill>
      <patternFill patternType="solid">
        <fgColor rgb="FFE8D5F5"/>
        <bgColor rgb="FFE8D5F5"/>
      </patternFill>
    </fill>
    <fill>
      <patternFill patternType="solid">
        <fgColor rgb="FF006064"/>
        <bgColor rgb="FF006064"/>
      </patternFill>
    </fill>
    <fill>
      <patternFill patternType="solid">
        <fgColor rgb="FFF5F5F5"/>
        <bgColor rgb="FFF5F5F5"/>
      </patternFill>
    </fill>
    <fill>
      <patternFill patternType="solid">
        <fgColor rgb="FFE0F7FA"/>
        <bgColor rgb="FFE0F7FA"/>
      </patternFill>
    </fill>
    <fill>
      <patternFill patternType="solid">
        <fgColor rgb="FFFFFDE7"/>
        <bgColor rgb="FFFFFDE7"/>
      </patternFill>
    </fill>
    <fill>
      <patternFill patternType="solid">
        <fgColor rgb="FF7B3FA0"/>
        <bgColor rgb="FF7B3FA0"/>
      </patternFill>
    </fill>
    <fill>
      <patternFill patternType="solid">
        <fgColor rgb="FF1E5631"/>
        <bgColor rgb="FF1E5631"/>
      </patternFill>
    </fill>
    <fill>
      <patternFill patternType="solid">
        <fgColor rgb="FF1A237E"/>
        <bgColor rgb="FF1A237E"/>
      </patternFill>
    </fill>
    <fill>
      <patternFill patternType="solid">
        <fgColor rgb="FFCC6600"/>
        <bgColor rgb="FFCC6600"/>
      </patternFill>
    </fill>
    <fill>
      <patternFill patternType="solid">
        <fgColor rgb="FFD4EDDA"/>
        <bgColor rgb="FFD4EDDA"/>
      </patternFill>
    </fill>
    <fill>
      <patternFill patternType="solid">
        <fgColor rgb="FFE65100"/>
        <bgColor rgb="FFE65100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8B0000"/>
        <bgColor rgb="FF8B0000"/>
      </patternFill>
    </fill>
    <fill>
      <patternFill patternType="solid">
        <fgColor rgb="FFFFF0CC"/>
        <bgColor rgb="FFFFF0CC"/>
      </patternFill>
    </fill>
    <fill>
      <patternFill patternType="solid">
        <fgColor rgb="FFE0E0E0"/>
        <bgColor rgb="FFE0E0E0"/>
      </patternFill>
    </fill>
    <fill>
      <patternFill patternType="solid">
        <fgColor rgb="FFF8F9FA"/>
        <bgColor rgb="FFF8F9FA"/>
      </patternFill>
    </fill>
    <fill>
      <patternFill patternType="solid">
        <fgColor rgb="FFFFDAD6"/>
        <bgColor rgb="FFFFDAD6"/>
      </patternFill>
    </fill>
    <fill>
      <patternFill patternType="solid">
        <fgColor theme="0"/>
        <bgColor theme="0"/>
      </patternFill>
    </fill>
    <fill>
      <patternFill patternType="solid">
        <fgColor rgb="FFFFF8DC"/>
        <bgColor rgb="FFFFF8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F9A825"/>
      </left>
      <right/>
      <top style="medium">
        <color rgb="FFF9A825"/>
      </top>
      <bottom style="medium">
        <color rgb="FFF9A825"/>
      </bottom>
      <diagonal/>
    </border>
    <border>
      <left/>
      <right/>
      <top style="medium">
        <color rgb="FFF9A825"/>
      </top>
      <bottom style="medium">
        <color rgb="FFF9A825"/>
      </bottom>
      <diagonal/>
    </border>
    <border>
      <left/>
      <right/>
      <top style="medium">
        <color rgb="FFF9A825"/>
      </top>
      <bottom style="medium">
        <color rgb="FFF9A825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/>
      <bottom style="thin">
        <color rgb="FF442F65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442F65"/>
      </bottom>
      <diagonal/>
    </border>
  </borders>
  <cellStyleXfs count="1">
    <xf numFmtId="0" fontId="0" fillId="0" borderId="0"/>
  </cellStyleXfs>
  <cellXfs count="223">
    <xf numFmtId="0" fontId="0" fillId="0" borderId="0" xfId="0" applyFont="1" applyAlignment="1"/>
    <xf numFmtId="0" fontId="6" fillId="2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left" vertical="center"/>
    </xf>
    <xf numFmtId="0" fontId="16" fillId="13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 wrapText="1"/>
    </xf>
    <xf numFmtId="0" fontId="17" fillId="6" borderId="4" xfId="0" applyFont="1" applyFill="1" applyBorder="1"/>
    <xf numFmtId="0" fontId="13" fillId="4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center" vertical="center"/>
    </xf>
    <xf numFmtId="0" fontId="19" fillId="16" borderId="4" xfId="0" applyFont="1" applyFill="1" applyBorder="1" applyAlignment="1">
      <alignment horizontal="center" vertical="center"/>
    </xf>
    <xf numFmtId="164" fontId="15" fillId="8" borderId="4" xfId="0" applyNumberFormat="1" applyFont="1" applyFill="1" applyBorder="1" applyAlignment="1">
      <alignment horizontal="left" vertical="center"/>
    </xf>
    <xf numFmtId="0" fontId="16" fillId="13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left" vertical="center" wrapText="1"/>
    </xf>
    <xf numFmtId="0" fontId="17" fillId="15" borderId="4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/>
    </xf>
    <xf numFmtId="0" fontId="20" fillId="18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 wrapText="1"/>
    </xf>
    <xf numFmtId="0" fontId="17" fillId="8" borderId="4" xfId="0" applyFont="1" applyFill="1" applyBorder="1"/>
    <xf numFmtId="0" fontId="22" fillId="19" borderId="4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23" fillId="20" borderId="11" xfId="0" applyFont="1" applyFill="1" applyBorder="1" applyAlignment="1"/>
    <xf numFmtId="0" fontId="23" fillId="20" borderId="11" xfId="0" applyFont="1" applyFill="1" applyBorder="1" applyAlignment="1">
      <alignment horizontal="right"/>
    </xf>
    <xf numFmtId="0" fontId="27" fillId="15" borderId="4" xfId="0" applyFont="1" applyFill="1" applyBorder="1" applyAlignment="1">
      <alignment horizontal="left" vertical="center"/>
    </xf>
    <xf numFmtId="0" fontId="29" fillId="22" borderId="4" xfId="0" applyFont="1" applyFill="1" applyBorder="1" applyAlignment="1">
      <alignment vertical="center"/>
    </xf>
    <xf numFmtId="0" fontId="23" fillId="15" borderId="11" xfId="0" applyFont="1" applyFill="1" applyBorder="1" applyAlignment="1"/>
    <xf numFmtId="0" fontId="23" fillId="15" borderId="11" xfId="0" applyFont="1" applyFill="1" applyBorder="1" applyAlignment="1">
      <alignment horizontal="right"/>
    </xf>
    <xf numFmtId="0" fontId="27" fillId="6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27" fillId="20" borderId="11" xfId="0" applyFont="1" applyFill="1" applyBorder="1" applyAlignment="1"/>
    <xf numFmtId="0" fontId="28" fillId="6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9" fontId="25" fillId="6" borderId="4" xfId="0" applyNumberFormat="1" applyFont="1" applyFill="1" applyBorder="1" applyAlignment="1">
      <alignment horizontal="center" vertical="center"/>
    </xf>
    <xf numFmtId="0" fontId="27" fillId="15" borderId="11" xfId="0" applyFont="1" applyFill="1" applyBorder="1" applyAlignment="1"/>
    <xf numFmtId="0" fontId="28" fillId="15" borderId="4" xfId="0" applyFont="1" applyFill="1" applyBorder="1" applyAlignment="1">
      <alignment horizontal="center" vertical="center"/>
    </xf>
    <xf numFmtId="0" fontId="27" fillId="20" borderId="11" xfId="0" applyFont="1" applyFill="1" applyBorder="1" applyAlignment="1"/>
    <xf numFmtId="0" fontId="23" fillId="20" borderId="12" xfId="0" applyFont="1" applyFill="1" applyBorder="1" applyAlignment="1"/>
    <xf numFmtId="0" fontId="23" fillId="20" borderId="13" xfId="0" applyFont="1" applyFill="1" applyBorder="1" applyAlignment="1"/>
    <xf numFmtId="0" fontId="25" fillId="15" borderId="4" xfId="0" applyFont="1" applyFill="1" applyBorder="1" applyAlignment="1">
      <alignment horizontal="center" vertical="center"/>
    </xf>
    <xf numFmtId="0" fontId="29" fillId="20" borderId="13" xfId="0" applyFont="1" applyFill="1" applyBorder="1"/>
    <xf numFmtId="0" fontId="23" fillId="20" borderId="13" xfId="0" quotePrefix="1" applyFont="1" applyFill="1" applyBorder="1" applyAlignment="1"/>
    <xf numFmtId="0" fontId="23" fillId="20" borderId="13" xfId="0" quotePrefix="1" applyFont="1" applyFill="1" applyBorder="1" applyAlignment="1">
      <alignment horizontal="right"/>
    </xf>
    <xf numFmtId="0" fontId="29" fillId="0" borderId="0" xfId="0" applyFont="1" applyAlignment="1"/>
    <xf numFmtId="0" fontId="23" fillId="20" borderId="13" xfId="0" applyFont="1" applyFill="1" applyBorder="1" applyAlignment="1"/>
    <xf numFmtId="0" fontId="23" fillId="20" borderId="13" xfId="0" applyFont="1" applyFill="1" applyBorder="1" applyAlignment="1"/>
    <xf numFmtId="9" fontId="25" fillId="15" borderId="4" xfId="0" applyNumberFormat="1" applyFont="1" applyFill="1" applyBorder="1" applyAlignment="1">
      <alignment horizontal="center" vertical="center"/>
    </xf>
    <xf numFmtId="0" fontId="30" fillId="19" borderId="4" xfId="0" applyFont="1" applyFill="1" applyBorder="1" applyAlignment="1">
      <alignment horizontal="center" vertical="center"/>
    </xf>
    <xf numFmtId="0" fontId="17" fillId="19" borderId="4" xfId="0" applyFont="1" applyFill="1" applyBorder="1"/>
    <xf numFmtId="0" fontId="31" fillId="11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/>
    </xf>
    <xf numFmtId="0" fontId="9" fillId="6" borderId="4" xfId="0" applyFont="1" applyFill="1" applyBorder="1"/>
    <xf numFmtId="0" fontId="13" fillId="23" borderId="4" xfId="0" applyFont="1" applyFill="1" applyBorder="1" applyAlignment="1">
      <alignment horizontal="left" vertical="center"/>
    </xf>
    <xf numFmtId="0" fontId="34" fillId="8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/>
    </xf>
    <xf numFmtId="0" fontId="35" fillId="9" borderId="4" xfId="0" applyFont="1" applyFill="1" applyBorder="1" applyAlignment="1">
      <alignment horizontal="center" vertical="center"/>
    </xf>
    <xf numFmtId="0" fontId="7" fillId="15" borderId="4" xfId="0" applyFont="1" applyFill="1" applyBorder="1"/>
    <xf numFmtId="0" fontId="29" fillId="15" borderId="4" xfId="0" applyFont="1" applyFill="1" applyBorder="1"/>
    <xf numFmtId="0" fontId="36" fillId="8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0" fontId="39" fillId="15" borderId="4" xfId="0" applyFont="1" applyFill="1" applyBorder="1"/>
    <xf numFmtId="0" fontId="29" fillId="6" borderId="4" xfId="0" applyFont="1" applyFill="1" applyBorder="1"/>
    <xf numFmtId="0" fontId="7" fillId="6" borderId="4" xfId="0" applyFont="1" applyFill="1" applyBorder="1"/>
    <xf numFmtId="0" fontId="39" fillId="6" borderId="4" xfId="0" applyFont="1" applyFill="1" applyBorder="1"/>
    <xf numFmtId="0" fontId="40" fillId="15" borderId="4" xfId="0" applyFont="1" applyFill="1" applyBorder="1" applyAlignment="1">
      <alignment horizontal="center" vertical="center"/>
    </xf>
    <xf numFmtId="0" fontId="27" fillId="20" borderId="11" xfId="0" applyFont="1" applyFill="1" applyBorder="1"/>
    <xf numFmtId="0" fontId="12" fillId="2" borderId="4" xfId="0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27" fillId="15" borderId="11" xfId="0" applyFont="1" applyFill="1" applyBorder="1"/>
    <xf numFmtId="0" fontId="14" fillId="11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/>
    <xf numFmtId="0" fontId="43" fillId="8" borderId="4" xfId="0" applyFont="1" applyFill="1" applyBorder="1" applyAlignment="1">
      <alignment horizontal="center" vertical="center"/>
    </xf>
    <xf numFmtId="0" fontId="44" fillId="8" borderId="4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 vertical="center"/>
    </xf>
    <xf numFmtId="0" fontId="44" fillId="8" borderId="4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44" fillId="8" borderId="4" xfId="0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/>
    </xf>
    <xf numFmtId="0" fontId="44" fillId="8" borderId="4" xfId="0" applyFont="1" applyFill="1" applyBorder="1" applyAlignment="1">
      <alignment horizontal="center"/>
    </xf>
    <xf numFmtId="11" fontId="23" fillId="20" borderId="11" xfId="0" applyNumberFormat="1" applyFont="1" applyFill="1" applyBorder="1" applyAlignment="1">
      <alignment horizontal="right"/>
    </xf>
    <xf numFmtId="0" fontId="52" fillId="23" borderId="4" xfId="0" applyFont="1" applyFill="1" applyBorder="1" applyAlignment="1">
      <alignment horizontal="center" vertical="center"/>
    </xf>
    <xf numFmtId="0" fontId="53" fillId="13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/>
    <xf numFmtId="0" fontId="9" fillId="6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4" fillId="23" borderId="4" xfId="0" applyFont="1" applyFill="1" applyBorder="1" applyAlignment="1">
      <alignment horizontal="center" vertical="center"/>
    </xf>
    <xf numFmtId="0" fontId="55" fillId="13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6" fillId="6" borderId="4" xfId="0" applyFont="1" applyFill="1" applyBorder="1" applyAlignment="1">
      <alignment horizontal="center" vertical="center"/>
    </xf>
    <xf numFmtId="9" fontId="5" fillId="6" borderId="4" xfId="0" applyNumberFormat="1" applyFont="1" applyFill="1" applyBorder="1" applyAlignment="1">
      <alignment horizontal="center" vertical="center"/>
    </xf>
    <xf numFmtId="0" fontId="29" fillId="15" borderId="4" xfId="0" applyFont="1" applyFill="1" applyBorder="1" applyAlignment="1"/>
    <xf numFmtId="0" fontId="27" fillId="6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/>
    </xf>
    <xf numFmtId="0" fontId="23" fillId="20" borderId="12" xfId="0" applyFont="1" applyFill="1" applyBorder="1" applyAlignment="1"/>
    <xf numFmtId="0" fontId="23" fillId="20" borderId="12" xfId="0" quotePrefix="1" applyFont="1" applyFill="1" applyBorder="1" applyAlignment="1"/>
    <xf numFmtId="0" fontId="23" fillId="20" borderId="13" xfId="0" quotePrefix="1" applyFont="1" applyFill="1" applyBorder="1" applyAlignment="1"/>
    <xf numFmtId="0" fontId="5" fillId="15" borderId="4" xfId="0" applyFont="1" applyFill="1" applyBorder="1" applyAlignment="1">
      <alignment horizontal="center" vertical="center"/>
    </xf>
    <xf numFmtId="0" fontId="56" fillId="15" borderId="4" xfId="0" applyFont="1" applyFill="1" applyBorder="1" applyAlignment="1">
      <alignment horizontal="center" vertical="center"/>
    </xf>
    <xf numFmtId="9" fontId="5" fillId="15" borderId="4" xfId="0" applyNumberFormat="1" applyFont="1" applyFill="1" applyBorder="1" applyAlignment="1">
      <alignment horizontal="center" vertical="center"/>
    </xf>
    <xf numFmtId="0" fontId="23" fillId="15" borderId="17" xfId="0" applyFont="1" applyFill="1" applyBorder="1" applyAlignment="1"/>
    <xf numFmtId="0" fontId="23" fillId="15" borderId="17" xfId="0" applyFont="1" applyFill="1" applyBorder="1" applyAlignment="1"/>
    <xf numFmtId="0" fontId="23" fillId="15" borderId="11" xfId="0" applyFont="1" applyFill="1" applyBorder="1" applyAlignment="1"/>
    <xf numFmtId="0" fontId="23" fillId="15" borderId="17" xfId="0" quotePrefix="1" applyFont="1" applyFill="1" applyBorder="1" applyAlignment="1"/>
    <xf numFmtId="0" fontId="23" fillId="15" borderId="11" xfId="0" quotePrefix="1" applyFont="1" applyFill="1" applyBorder="1" applyAlignment="1"/>
    <xf numFmtId="0" fontId="29" fillId="6" borderId="4" xfId="0" applyFont="1" applyFill="1" applyBorder="1" applyAlignment="1"/>
    <xf numFmtId="0" fontId="23" fillId="20" borderId="17" xfId="0" applyFont="1" applyFill="1" applyBorder="1" applyAlignment="1"/>
    <xf numFmtId="0" fontId="23" fillId="20" borderId="11" xfId="0" applyFont="1" applyFill="1" applyBorder="1" applyAlignment="1"/>
    <xf numFmtId="0" fontId="23" fillId="20" borderId="17" xfId="0" quotePrefix="1" applyFont="1" applyFill="1" applyBorder="1" applyAlignment="1"/>
    <xf numFmtId="0" fontId="23" fillId="20" borderId="11" xfId="0" quotePrefix="1" applyFont="1" applyFill="1" applyBorder="1" applyAlignment="1"/>
    <xf numFmtId="0" fontId="23" fillId="15" borderId="18" xfId="0" applyFont="1" applyFill="1" applyBorder="1" applyAlignment="1"/>
    <xf numFmtId="0" fontId="23" fillId="15" borderId="15" xfId="0" applyFont="1" applyFill="1" applyBorder="1" applyAlignment="1"/>
    <xf numFmtId="0" fontId="23" fillId="15" borderId="18" xfId="0" quotePrefix="1" applyFont="1" applyFill="1" applyBorder="1" applyAlignment="1"/>
    <xf numFmtId="0" fontId="23" fillId="15" borderId="15" xfId="0" quotePrefix="1" applyFont="1" applyFill="1" applyBorder="1" applyAlignment="1"/>
    <xf numFmtId="0" fontId="27" fillId="15" borderId="4" xfId="0" applyFont="1" applyFill="1" applyBorder="1" applyAlignment="1">
      <alignment horizontal="left" vertical="center"/>
    </xf>
    <xf numFmtId="0" fontId="17" fillId="8" borderId="4" xfId="0" applyFont="1" applyFill="1" applyBorder="1" applyAlignment="1">
      <alignment horizontal="center"/>
    </xf>
    <xf numFmtId="0" fontId="23" fillId="24" borderId="16" xfId="0" applyFont="1" applyFill="1" applyBorder="1" applyAlignment="1"/>
    <xf numFmtId="0" fontId="27" fillId="25" borderId="4" xfId="0" applyFont="1" applyFill="1" applyBorder="1" applyAlignment="1">
      <alignment horizontal="left" vertical="center"/>
    </xf>
    <xf numFmtId="0" fontId="57" fillId="0" borderId="4" xfId="0" applyFont="1" applyBorder="1" applyAlignment="1">
      <alignment horizontal="left"/>
    </xf>
    <xf numFmtId="0" fontId="57" fillId="0" borderId="4" xfId="0" applyFont="1" applyBorder="1" applyAlignment="1">
      <alignment horizontal="right"/>
    </xf>
    <xf numFmtId="0" fontId="17" fillId="15" borderId="4" xfId="0" applyFont="1" applyFill="1" applyBorder="1" applyAlignment="1"/>
    <xf numFmtId="0" fontId="58" fillId="0" borderId="4" xfId="0" applyFont="1" applyBorder="1" applyAlignment="1">
      <alignment horizontal="left"/>
    </xf>
    <xf numFmtId="0" fontId="59" fillId="6" borderId="4" xfId="0" applyFont="1" applyFill="1" applyBorder="1" applyAlignment="1">
      <alignment horizontal="left" vertical="center"/>
    </xf>
    <xf numFmtId="0" fontId="58" fillId="0" borderId="4" xfId="0" applyFont="1" applyBorder="1" applyAlignment="1">
      <alignment horizontal="right"/>
    </xf>
    <xf numFmtId="0" fontId="59" fillId="15" borderId="4" xfId="0" applyFont="1" applyFill="1" applyBorder="1" applyAlignment="1">
      <alignment horizontal="left" vertical="center"/>
    </xf>
    <xf numFmtId="0" fontId="59" fillId="6" borderId="4" xfId="0" applyFont="1" applyFill="1" applyBorder="1" applyAlignment="1">
      <alignment horizontal="left" vertical="center"/>
    </xf>
    <xf numFmtId="0" fontId="60" fillId="25" borderId="4" xfId="0" applyFont="1" applyFill="1" applyBorder="1" applyAlignment="1">
      <alignment horizontal="left" vertical="center"/>
    </xf>
    <xf numFmtId="0" fontId="17" fillId="25" borderId="4" xfId="0" applyFont="1" applyFill="1" applyBorder="1"/>
    <xf numFmtId="0" fontId="61" fillId="0" borderId="4" xfId="0" applyFont="1" applyBorder="1"/>
    <xf numFmtId="0" fontId="56" fillId="15" borderId="4" xfId="0" applyFont="1" applyFill="1" applyBorder="1" applyAlignment="1">
      <alignment horizontal="left" vertical="center"/>
    </xf>
    <xf numFmtId="0" fontId="56" fillId="6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2" fillId="17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8" fillId="6" borderId="1" xfId="0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21" fillId="17" borderId="5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21" fillId="14" borderId="5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26" fillId="17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left" vertical="center"/>
    </xf>
    <xf numFmtId="0" fontId="3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0" fontId="2" fillId="0" borderId="14" xfId="0" applyFont="1" applyBorder="1"/>
    <xf numFmtId="0" fontId="28" fillId="15" borderId="1" xfId="0" applyFont="1" applyFill="1" applyBorder="1" applyAlignment="1">
      <alignment horizontal="left" vertical="center"/>
    </xf>
    <xf numFmtId="0" fontId="28" fillId="1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2" fillId="19" borderId="1" xfId="0" applyFont="1" applyFill="1" applyBorder="1" applyAlignment="1">
      <alignment horizontal="left" vertical="center"/>
    </xf>
    <xf numFmtId="0" fontId="24" fillId="21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/>
    </xf>
    <xf numFmtId="0" fontId="28" fillId="15" borderId="2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49" fillId="7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center" vertical="center"/>
    </xf>
    <xf numFmtId="0" fontId="42" fillId="13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45" fillId="23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15" borderId="1" xfId="0" applyFont="1" applyFill="1" applyBorder="1" applyAlignment="1">
      <alignment horizontal="center" vertical="center"/>
    </xf>
    <xf numFmtId="0" fontId="47" fillId="18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47">
    <dxf>
      <font>
        <b/>
        <color rgb="FF1A237E"/>
      </font>
      <fill>
        <patternFill patternType="solid">
          <fgColor rgb="FFDDEEFF"/>
          <bgColor rgb="FFDDEEFF"/>
        </patternFill>
      </fill>
    </dxf>
    <dxf>
      <font>
        <b/>
        <color rgb="FFB8860B"/>
      </font>
      <fill>
        <patternFill patternType="solid">
          <fgColor rgb="FFFFF8DC"/>
          <bgColor rgb="FFFFF8DC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sz val="11"/>
        <color rgb="FFCC6600"/>
      </font>
      <fill>
        <patternFill patternType="solid">
          <fgColor rgb="FFFFF0CC"/>
          <bgColor rgb="FFFFF0CC"/>
        </patternFill>
      </fill>
    </dxf>
    <dxf>
      <font>
        <b/>
        <sz val="11"/>
        <color rgb="FF8B0000"/>
      </font>
      <fill>
        <patternFill patternType="solid">
          <fgColor rgb="FFFFDAD6"/>
          <bgColor rgb="FFFFDAD6"/>
        </patternFill>
      </fill>
    </dxf>
    <dxf>
      <font>
        <b/>
        <sz val="11"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A237E"/>
      </font>
      <fill>
        <patternFill patternType="solid">
          <fgColor rgb="FFDDEEFF"/>
          <bgColor rgb="FFDDEEFF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sz val="14"/>
        <color rgb="FFCC6600"/>
      </font>
      <fill>
        <patternFill patternType="solid">
          <fgColor rgb="FFFFF0CC"/>
          <bgColor rgb="FFFFF0CC"/>
        </patternFill>
      </fill>
    </dxf>
    <dxf>
      <font>
        <b/>
        <sz val="14"/>
        <color rgb="FF8B0000"/>
      </font>
      <fill>
        <patternFill patternType="solid">
          <fgColor rgb="FFFFDAD6"/>
          <bgColor rgb="FFFFDAD6"/>
        </patternFill>
      </fill>
    </dxf>
    <dxf>
      <font>
        <b/>
        <sz val="14"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1E5631"/>
      </font>
      <fill>
        <patternFill patternType="solid">
          <fgColor rgb="FFD4EDDA"/>
          <bgColor rgb="FFD4EDDA"/>
        </patternFill>
      </fill>
    </dxf>
    <dxf>
      <font>
        <b/>
        <color rgb="FF8B0000"/>
      </font>
      <fill>
        <patternFill patternType="solid">
          <fgColor rgb="FFFFDAD6"/>
          <bgColor rgb="FFFFDAD6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  <dxf>
      <font>
        <b/>
        <color rgb="FFCC6600"/>
      </font>
      <fill>
        <patternFill patternType="solid">
          <fgColor rgb="FFFFF0CC"/>
          <bgColor rgb="FFFFF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235A"/>
  </sheetPr>
  <dimension ref="A1:P1000"/>
  <sheetViews>
    <sheetView showGridLines="0" workbookViewId="0">
      <selection sqref="A1:P1"/>
    </sheetView>
  </sheetViews>
  <sheetFormatPr defaultColWidth="14.453125" defaultRowHeight="15" customHeight="1"/>
  <cols>
    <col min="1" max="1" width="27" customWidth="1"/>
    <col min="2" max="2" width="24" customWidth="1"/>
    <col min="3" max="3" width="14" customWidth="1"/>
    <col min="4" max="6" width="12" customWidth="1"/>
    <col min="7" max="7" width="14" customWidth="1"/>
    <col min="8" max="9" width="12" customWidth="1"/>
    <col min="10" max="10" width="14.26953125" customWidth="1"/>
    <col min="11" max="11" width="4" customWidth="1"/>
    <col min="12" max="12" width="10.7265625" customWidth="1"/>
    <col min="13" max="13" width="4" customWidth="1"/>
    <col min="14" max="14" width="8" customWidth="1"/>
    <col min="15" max="15" width="4" customWidth="1"/>
    <col min="16" max="16" width="7.81640625" customWidth="1"/>
    <col min="17" max="26" width="8.54296875" customWidth="1"/>
  </cols>
  <sheetData>
    <row r="1" spans="1:16" ht="30" customHeight="1">
      <c r="A1" s="148" t="s">
        <v>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50"/>
    </row>
    <row r="2" spans="1:16" ht="15.75" customHeight="1">
      <c r="A2" s="151" t="s">
        <v>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50"/>
    </row>
    <row r="3" spans="1:16" ht="9.75" customHeight="1"/>
    <row r="4" spans="1:16" ht="24.75" customHeight="1">
      <c r="A4" s="157" t="s">
        <v>18</v>
      </c>
      <c r="B4" s="146"/>
      <c r="C4" s="145" t="s">
        <v>20</v>
      </c>
      <c r="D4" s="146"/>
      <c r="E4" s="152" t="s">
        <v>23</v>
      </c>
      <c r="F4" s="146"/>
      <c r="G4" s="153" t="s">
        <v>28</v>
      </c>
      <c r="H4" s="146"/>
      <c r="I4" s="154" t="s">
        <v>30</v>
      </c>
      <c r="J4" s="146"/>
      <c r="K4" s="145" t="s">
        <v>33</v>
      </c>
      <c r="L4" s="146"/>
      <c r="M4" s="147" t="s">
        <v>36</v>
      </c>
      <c r="N4" s="146"/>
      <c r="O4" s="153" t="s">
        <v>38</v>
      </c>
      <c r="P4" s="146"/>
    </row>
    <row r="5" spans="1:16" ht="24.75" customHeight="1">
      <c r="A5" s="158">
        <f>COUNTA('👥 All Students'!A5:A493)</f>
        <v>80</v>
      </c>
      <c r="B5" s="146"/>
      <c r="C5" s="159">
        <f>COUNTIF('👥 All Students'!X5:X493,"Active")</f>
        <v>88</v>
      </c>
      <c r="D5" s="146"/>
      <c r="E5" s="160">
        <f>COUNTIF('👥 All Students'!X5:X493,"Graduated")</f>
        <v>0</v>
      </c>
      <c r="F5" s="146"/>
      <c r="G5" s="156">
        <f>COUNTIF('👥 All Students'!X5:X493,"Deferred")</f>
        <v>0</v>
      </c>
      <c r="H5" s="146"/>
      <c r="I5" s="161">
        <f>COUNTIF('👥 All Students'!W5:W493,"Sunday Cohort")</f>
        <v>59</v>
      </c>
      <c r="J5" s="146"/>
      <c r="K5" s="159">
        <f>COUNTIF('🎓 S1 Results'!K6:K105,"✅ GRADUATE")</f>
        <v>0</v>
      </c>
      <c r="L5" s="146"/>
      <c r="M5" s="155">
        <f>COUNTIF('🎓 S1 Results'!K6:K105,"❌ NOT YET")</f>
        <v>92</v>
      </c>
      <c r="N5" s="146"/>
      <c r="O5" s="156">
        <f>COUNTIF('🎓 S1 Results'!K6:K105,"⏳ PENDING")</f>
        <v>8</v>
      </c>
      <c r="P5" s="146"/>
    </row>
    <row r="6" spans="1:16" ht="19.5" customHeight="1">
      <c r="A6" s="162" t="s">
        <v>73</v>
      </c>
      <c r="B6" s="146"/>
      <c r="C6" s="163" t="s">
        <v>74</v>
      </c>
      <c r="D6" s="146"/>
      <c r="E6" s="164" t="s">
        <v>74</v>
      </c>
      <c r="F6" s="146"/>
      <c r="G6" s="165" t="s">
        <v>74</v>
      </c>
      <c r="H6" s="146"/>
      <c r="I6" s="166" t="s">
        <v>74</v>
      </c>
      <c r="J6" s="146"/>
      <c r="K6" s="163" t="s">
        <v>74</v>
      </c>
      <c r="L6" s="146"/>
      <c r="M6" s="167" t="s">
        <v>74</v>
      </c>
      <c r="N6" s="146"/>
      <c r="O6" s="165" t="s">
        <v>74</v>
      </c>
      <c r="P6" s="146"/>
    </row>
    <row r="7" spans="1:16" ht="7.5" customHeight="1"/>
    <row r="8" spans="1:16" ht="21.75" customHeight="1">
      <c r="A8" s="168" t="s">
        <v>76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50"/>
    </row>
    <row r="9" spans="1:16" ht="19.5" customHeight="1">
      <c r="A9" s="169" t="s">
        <v>77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50"/>
    </row>
    <row r="10" spans="1:16" ht="24" customHeight="1">
      <c r="A10" s="1" t="s">
        <v>8</v>
      </c>
      <c r="B10" s="1" t="s">
        <v>10</v>
      </c>
      <c r="C10" s="1" t="s">
        <v>78</v>
      </c>
      <c r="D10" s="1" t="s">
        <v>20</v>
      </c>
      <c r="E10" s="1" t="s">
        <v>23</v>
      </c>
      <c r="F10" s="1" t="s">
        <v>28</v>
      </c>
      <c r="G10" s="1" t="s">
        <v>33</v>
      </c>
      <c r="H10" s="1" t="s">
        <v>36</v>
      </c>
      <c r="I10" s="1" t="s">
        <v>38</v>
      </c>
      <c r="J10" s="1" t="s">
        <v>80</v>
      </c>
      <c r="K10" s="1"/>
      <c r="L10" s="1"/>
      <c r="M10" s="1"/>
      <c r="N10" s="1"/>
      <c r="O10" s="1"/>
      <c r="P10" s="1"/>
    </row>
    <row r="11" spans="1:16" ht="21.75" customHeight="1">
      <c r="A11" s="30" t="str">
        <f>'⚙️ Semester Setup'!B7</f>
        <v>Semester 1 — 2026</v>
      </c>
      <c r="B11" s="32" t="str">
        <f>'⚙️ Semester Setup'!C7</f>
        <v>Regular</v>
      </c>
      <c r="C11" s="33">
        <f>COUNTIF('👥 All Students'!V5:V493,'⚙️ Semester Setup'!B7)</f>
        <v>0</v>
      </c>
      <c r="D11" s="33">
        <f>COUNTIFS('👥 All Students'!V5:V493,'⚙️ Semester Setup'!B7,'👥 All Students'!X5:X493,"Active")</f>
        <v>0</v>
      </c>
      <c r="E11" s="33">
        <f>COUNTIFS('👥 All Students'!V5:V493,'⚙️ Semester Setup'!B7,'👥 All Students'!X5:X493,"Graduated")</f>
        <v>0</v>
      </c>
      <c r="F11" s="33">
        <f>COUNTIFS('👥 All Students'!V5:V493,'⚙️ Semester Setup'!B7,'👥 All Students'!X5:X493,"Deferred")</f>
        <v>0</v>
      </c>
      <c r="G11" s="33">
        <f>COUNTIF('🎓 S1 Results'!K6:K105,"✅ GRADUATE")</f>
        <v>0</v>
      </c>
      <c r="H11" s="33">
        <f>COUNTIF('🎓 S1 Results'!K6:K105,"❌ NOT YET")</f>
        <v>92</v>
      </c>
      <c r="I11" s="33">
        <f>COUNTIF('🎓 S1 Results'!K6:K105,"⏳ PENDING")</f>
        <v>8</v>
      </c>
      <c r="J11" s="34">
        <f t="shared" ref="J11:J13" si="0">IFERROR(G11/C11,0)</f>
        <v>0</v>
      </c>
      <c r="K11" s="8"/>
      <c r="L11" s="8"/>
      <c r="M11" s="8"/>
      <c r="N11" s="8"/>
      <c r="O11" s="8"/>
      <c r="P11" s="8"/>
    </row>
    <row r="12" spans="1:16" ht="21.75" customHeight="1">
      <c r="A12" s="30" t="str">
        <f>'⚙️ Semester Setup'!B8</f>
        <v>Sunday Cohort — 2026</v>
      </c>
      <c r="B12" s="36" t="str">
        <f>'⚙️ Semester Setup'!C8</f>
        <v>Sunday Cohort</v>
      </c>
      <c r="C12" s="40">
        <f>COUNTIF('👥 All Students'!V5:V493,'⚙️ Semester Setup'!B8)</f>
        <v>59</v>
      </c>
      <c r="D12" s="40">
        <f>COUNTIFS('👥 All Students'!V5:V493,'⚙️ Semester Setup'!B8,'👥 All Students'!X5:X493,"Active")</f>
        <v>59</v>
      </c>
      <c r="E12" s="40">
        <f>COUNTIFS('👥 All Students'!V5:V493,'⚙️ Semester Setup'!B8,'👥 All Students'!X5:X493,"Graduated")</f>
        <v>0</v>
      </c>
      <c r="F12" s="40">
        <f>COUNTIFS('👥 All Students'!V5:V493,'⚙️ Semester Setup'!B8,'👥 All Students'!X5:X493,"Deferred")</f>
        <v>0</v>
      </c>
      <c r="G12" s="40">
        <f>COUNTIF('🎓 S1 Results'!K6:K105,"✅ GRADUATE")</f>
        <v>0</v>
      </c>
      <c r="H12" s="40">
        <f>COUNTIF('🎓 S1 Results'!K6:K105,"❌ NOT YET")</f>
        <v>92</v>
      </c>
      <c r="I12" s="40">
        <f>COUNTIF('🎓 S1 Results'!K6:K105,"⏳ PENDING")</f>
        <v>8</v>
      </c>
      <c r="J12" s="47">
        <f t="shared" si="0"/>
        <v>0</v>
      </c>
      <c r="K12" s="15"/>
      <c r="L12" s="15"/>
      <c r="M12" s="15"/>
      <c r="N12" s="15"/>
      <c r="O12" s="15"/>
      <c r="P12" s="15"/>
    </row>
    <row r="13" spans="1:16" ht="21.75" customHeight="1">
      <c r="A13" s="30" t="str">
        <f>'⚙️ Semester Setup'!B9</f>
        <v>Semester 3 — 2026</v>
      </c>
      <c r="B13" s="32" t="str">
        <f>'⚙️ Semester Setup'!C9</f>
        <v>Regular</v>
      </c>
      <c r="C13" s="33">
        <f>COUNTIF('👥 All Students'!V5:V493,'⚙️ Semester Setup'!B9)</f>
        <v>29</v>
      </c>
      <c r="D13" s="33">
        <f>COUNTIFS('👥 All Students'!V5:V493,'⚙️ Semester Setup'!B9,'👥 All Students'!X5:X493,"Active")</f>
        <v>29</v>
      </c>
      <c r="E13" s="33">
        <f>COUNTIFS('👥 All Students'!V5:V493,'⚙️ Semester Setup'!B9,'👥 All Students'!X5:X493,"Graduated")</f>
        <v>0</v>
      </c>
      <c r="F13" s="33">
        <f>COUNTIFS('👥 All Students'!V5:V493,'⚙️ Semester Setup'!B9,'👥 All Students'!X5:X493,"Deferred")</f>
        <v>0</v>
      </c>
      <c r="G13" s="33">
        <f>COUNTIF('🎓 S1 Results'!K6:K105,"✅ GRADUATE")</f>
        <v>0</v>
      </c>
      <c r="H13" s="33">
        <f>COUNTIF('🎓 S1 Results'!K6:K105,"❌ NOT YET")</f>
        <v>92</v>
      </c>
      <c r="I13" s="33">
        <f>COUNTIF('🎓 S1 Results'!K6:K105,"⏳ PENDING")</f>
        <v>8</v>
      </c>
      <c r="J13" s="34">
        <f t="shared" si="0"/>
        <v>0</v>
      </c>
      <c r="K13" s="8"/>
      <c r="L13" s="8"/>
      <c r="M13" s="8"/>
      <c r="N13" s="8"/>
      <c r="O13" s="8"/>
      <c r="P13" s="8"/>
    </row>
    <row r="14" spans="1:16" ht="7.5" customHeight="1"/>
    <row r="15" spans="1:16" ht="19.5" customHeight="1">
      <c r="A15" s="170" t="s">
        <v>107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50"/>
    </row>
    <row r="16" spans="1:16" ht="16.5" customHeight="1">
      <c r="A16" s="9" t="s">
        <v>112</v>
      </c>
      <c r="B16" s="171" t="s">
        <v>113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50"/>
    </row>
    <row r="17" spans="1:16" ht="16.5" customHeight="1">
      <c r="A17" s="56" t="s">
        <v>115</v>
      </c>
      <c r="B17" s="172" t="s">
        <v>116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50"/>
    </row>
    <row r="18" spans="1:16" ht="16.5" customHeight="1">
      <c r="A18" s="58" t="s">
        <v>118</v>
      </c>
      <c r="B18" s="173" t="s">
        <v>119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50"/>
    </row>
    <row r="19" spans="1:16" ht="16.5" customHeight="1">
      <c r="A19" s="59" t="s">
        <v>120</v>
      </c>
      <c r="B19" s="176" t="s">
        <v>121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50"/>
    </row>
    <row r="20" spans="1:16" ht="7.5" customHeight="1"/>
    <row r="21" spans="1:16" ht="19.5" customHeight="1">
      <c r="A21" s="177" t="s">
        <v>123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50"/>
    </row>
    <row r="22" spans="1:16" ht="16.5" customHeight="1">
      <c r="A22" s="9" t="s">
        <v>125</v>
      </c>
      <c r="B22" s="175" t="s">
        <v>127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50"/>
    </row>
    <row r="23" spans="1:16" ht="16.5" customHeight="1">
      <c r="A23" s="9" t="s">
        <v>128</v>
      </c>
      <c r="B23" s="174" t="s">
        <v>130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50"/>
    </row>
    <row r="24" spans="1:16" ht="16.5" customHeight="1">
      <c r="A24" s="9" t="s">
        <v>134</v>
      </c>
      <c r="B24" s="175" t="s">
        <v>135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50"/>
    </row>
    <row r="25" spans="1:16" ht="16.5" customHeight="1">
      <c r="A25" s="9" t="s">
        <v>139</v>
      </c>
      <c r="B25" s="174" t="s">
        <v>140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50"/>
    </row>
    <row r="26" spans="1:16" ht="16.5" customHeight="1">
      <c r="A26" s="9" t="s">
        <v>141</v>
      </c>
      <c r="B26" s="175" t="s">
        <v>142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50"/>
    </row>
    <row r="27" spans="1:16" ht="16.5" customHeight="1">
      <c r="A27" s="9" t="s">
        <v>144</v>
      </c>
      <c r="B27" s="174" t="s">
        <v>145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50"/>
    </row>
    <row r="28" spans="1:16" ht="16.5" customHeight="1">
      <c r="A28" s="9" t="s">
        <v>146</v>
      </c>
      <c r="B28" s="175" t="s">
        <v>147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50"/>
    </row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28:P28"/>
    <mergeCell ref="B19:P19"/>
    <mergeCell ref="A21:P21"/>
    <mergeCell ref="B22:P22"/>
    <mergeCell ref="B23:P23"/>
    <mergeCell ref="B24:P24"/>
    <mergeCell ref="B25:P25"/>
    <mergeCell ref="B26:P26"/>
    <mergeCell ref="A15:P15"/>
    <mergeCell ref="B16:P16"/>
    <mergeCell ref="B17:P17"/>
    <mergeCell ref="B18:P18"/>
    <mergeCell ref="B27:P27"/>
    <mergeCell ref="K6:L6"/>
    <mergeCell ref="M6:N6"/>
    <mergeCell ref="O6:P6"/>
    <mergeCell ref="A8:P8"/>
    <mergeCell ref="A9:P9"/>
    <mergeCell ref="A6:B6"/>
    <mergeCell ref="C6:D6"/>
    <mergeCell ref="E6:F6"/>
    <mergeCell ref="G6:H6"/>
    <mergeCell ref="I6:J6"/>
    <mergeCell ref="M5:N5"/>
    <mergeCell ref="O5:P5"/>
    <mergeCell ref="A4:B4"/>
    <mergeCell ref="A5:B5"/>
    <mergeCell ref="C5:D5"/>
    <mergeCell ref="E5:F5"/>
    <mergeCell ref="G5:H5"/>
    <mergeCell ref="I5:J5"/>
    <mergeCell ref="K5:L5"/>
    <mergeCell ref="K4:L4"/>
    <mergeCell ref="M4:N4"/>
    <mergeCell ref="A1:P1"/>
    <mergeCell ref="A2:P2"/>
    <mergeCell ref="C4:D4"/>
    <mergeCell ref="E4:F4"/>
    <mergeCell ref="G4:H4"/>
    <mergeCell ref="I4:J4"/>
    <mergeCell ref="O4:P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1040"/>
  </sheetPr>
  <dimension ref="A1:I1000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4.453125" defaultRowHeight="15" customHeight="1"/>
  <cols>
    <col min="1" max="1" width="4" customWidth="1"/>
    <col min="2" max="2" width="34" customWidth="1"/>
    <col min="3" max="3" width="20.08984375" customWidth="1"/>
    <col min="4" max="5" width="12" customWidth="1"/>
    <col min="6" max="7" width="8" customWidth="1"/>
    <col min="8" max="8" width="56.453125" customWidth="1"/>
    <col min="9" max="9" width="4" customWidth="1"/>
    <col min="10" max="26" width="8.54296875" customWidth="1"/>
  </cols>
  <sheetData>
    <row r="1" spans="1:9" ht="30" customHeight="1">
      <c r="A1" s="178" t="s">
        <v>0</v>
      </c>
      <c r="B1" s="149"/>
      <c r="C1" s="149"/>
      <c r="D1" s="149"/>
      <c r="E1" s="149"/>
      <c r="F1" s="149"/>
      <c r="G1" s="149"/>
      <c r="H1" s="149"/>
      <c r="I1" s="150"/>
    </row>
    <row r="2" spans="1:9" ht="15.75" customHeight="1">
      <c r="A2" s="169" t="s">
        <v>3</v>
      </c>
      <c r="B2" s="149"/>
      <c r="C2" s="149"/>
      <c r="D2" s="149"/>
      <c r="E2" s="149"/>
      <c r="F2" s="149"/>
      <c r="G2" s="149"/>
      <c r="H2" s="149"/>
      <c r="I2" s="150"/>
    </row>
    <row r="3" spans="1:9" ht="7.5" customHeight="1"/>
    <row r="4" spans="1:9" ht="27.75" customHeight="1">
      <c r="A4" s="179" t="s">
        <v>4</v>
      </c>
      <c r="B4" s="149"/>
      <c r="C4" s="149"/>
      <c r="D4" s="149"/>
      <c r="E4" s="149"/>
      <c r="F4" s="149"/>
      <c r="G4" s="149"/>
      <c r="H4" s="149"/>
      <c r="I4" s="150"/>
    </row>
    <row r="5" spans="1:9" ht="7.5" customHeight="1"/>
    <row r="6" spans="1:9" ht="21.75" customHeight="1">
      <c r="A6" s="1" t="s">
        <v>6</v>
      </c>
      <c r="B6" s="1" t="s">
        <v>8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/>
    </row>
    <row r="7" spans="1:9" ht="18" customHeight="1">
      <c r="A7" s="2">
        <v>1</v>
      </c>
      <c r="B7" s="3" t="s">
        <v>17</v>
      </c>
      <c r="C7" s="4" t="s">
        <v>22</v>
      </c>
      <c r="D7" s="5" t="s">
        <v>24</v>
      </c>
      <c r="E7" s="5" t="s">
        <v>26</v>
      </c>
      <c r="F7" s="5" t="s">
        <v>27</v>
      </c>
      <c r="G7" s="6" t="s">
        <v>29</v>
      </c>
      <c r="H7" s="7" t="s">
        <v>31</v>
      </c>
      <c r="I7" s="8"/>
    </row>
    <row r="8" spans="1:9" ht="18" customHeight="1">
      <c r="A8" s="10">
        <v>2</v>
      </c>
      <c r="B8" s="3" t="s">
        <v>35</v>
      </c>
      <c r="C8" s="11" t="s">
        <v>37</v>
      </c>
      <c r="D8" s="12">
        <v>46187</v>
      </c>
      <c r="E8" s="12">
        <v>46229</v>
      </c>
      <c r="F8" s="5" t="s">
        <v>27</v>
      </c>
      <c r="G8" s="13" t="s">
        <v>39</v>
      </c>
      <c r="H8" s="14" t="s">
        <v>40</v>
      </c>
      <c r="I8" s="15"/>
    </row>
    <row r="9" spans="1:9" ht="18" customHeight="1">
      <c r="A9" s="2">
        <v>3</v>
      </c>
      <c r="B9" s="17" t="s">
        <v>42</v>
      </c>
      <c r="C9" s="4" t="s">
        <v>22</v>
      </c>
      <c r="D9" s="12">
        <v>46244</v>
      </c>
      <c r="E9" s="12">
        <v>46249</v>
      </c>
      <c r="F9" s="5" t="s">
        <v>27</v>
      </c>
      <c r="G9" s="18" t="s">
        <v>39</v>
      </c>
      <c r="H9" s="19" t="s">
        <v>48</v>
      </c>
      <c r="I9" s="8"/>
    </row>
    <row r="10" spans="1:9" ht="18" customHeight="1">
      <c r="A10" s="2">
        <v>4</v>
      </c>
      <c r="B10" s="20"/>
      <c r="C10" s="8"/>
      <c r="D10" s="8"/>
      <c r="E10" s="8"/>
      <c r="F10" s="8"/>
      <c r="G10" s="8"/>
      <c r="H10" s="8"/>
      <c r="I10" s="8"/>
    </row>
    <row r="11" spans="1:9" ht="18" customHeight="1">
      <c r="A11" s="10">
        <v>5</v>
      </c>
      <c r="B11" s="20"/>
      <c r="C11" s="15"/>
      <c r="D11" s="15"/>
      <c r="E11" s="15"/>
      <c r="F11" s="15"/>
      <c r="G11" s="15"/>
      <c r="H11" s="15"/>
      <c r="I11" s="15"/>
    </row>
    <row r="12" spans="1:9" ht="18" customHeight="1">
      <c r="A12" s="2">
        <v>6</v>
      </c>
      <c r="B12" s="20"/>
      <c r="C12" s="8"/>
      <c r="D12" s="8"/>
      <c r="E12" s="8"/>
      <c r="F12" s="8"/>
      <c r="G12" s="8"/>
      <c r="H12" s="8"/>
      <c r="I12" s="8"/>
    </row>
    <row r="13" spans="1:9" ht="18" customHeight="1">
      <c r="A13" s="10">
        <v>7</v>
      </c>
      <c r="B13" s="20"/>
      <c r="C13" s="15"/>
      <c r="D13" s="15"/>
      <c r="E13" s="15"/>
      <c r="F13" s="15"/>
      <c r="G13" s="15"/>
      <c r="H13" s="15"/>
      <c r="I13" s="15"/>
    </row>
    <row r="14" spans="1:9" ht="18" customHeight="1">
      <c r="A14" s="2">
        <v>8</v>
      </c>
      <c r="B14" s="20"/>
      <c r="C14" s="8"/>
      <c r="D14" s="8"/>
      <c r="E14" s="8"/>
      <c r="F14" s="8"/>
      <c r="G14" s="8"/>
      <c r="H14" s="8"/>
      <c r="I14" s="8"/>
    </row>
    <row r="15" spans="1:9" ht="18" customHeight="1">
      <c r="A15" s="10">
        <v>9</v>
      </c>
      <c r="B15" s="20"/>
      <c r="C15" s="15"/>
      <c r="D15" s="15"/>
      <c r="E15" s="15"/>
      <c r="F15" s="15"/>
      <c r="G15" s="15"/>
      <c r="H15" s="15"/>
      <c r="I15" s="15"/>
    </row>
    <row r="16" spans="1:9" ht="18" customHeight="1">
      <c r="A16" s="2">
        <v>10</v>
      </c>
      <c r="B16" s="20"/>
      <c r="C16" s="8"/>
      <c r="D16" s="8"/>
      <c r="E16" s="8"/>
      <c r="F16" s="8"/>
      <c r="G16" s="8"/>
      <c r="H16" s="8"/>
      <c r="I16" s="8"/>
    </row>
    <row r="17" spans="1:9" ht="18" customHeight="1">
      <c r="A17" s="10">
        <v>11</v>
      </c>
      <c r="B17" s="20"/>
      <c r="C17" s="15"/>
      <c r="D17" s="15"/>
      <c r="E17" s="15"/>
      <c r="F17" s="15"/>
      <c r="G17" s="15"/>
      <c r="H17" s="15"/>
      <c r="I17" s="15"/>
    </row>
    <row r="18" spans="1:9" ht="18" customHeight="1">
      <c r="A18" s="2">
        <v>12</v>
      </c>
      <c r="B18" s="20"/>
      <c r="C18" s="8"/>
      <c r="D18" s="8"/>
      <c r="E18" s="8"/>
      <c r="F18" s="8"/>
      <c r="G18" s="8"/>
      <c r="H18" s="8"/>
      <c r="I18" s="8"/>
    </row>
    <row r="19" spans="1:9" ht="18" customHeight="1">
      <c r="A19" s="10">
        <v>13</v>
      </c>
      <c r="B19" s="20"/>
      <c r="C19" s="15"/>
      <c r="D19" s="15"/>
      <c r="E19" s="15"/>
      <c r="F19" s="15"/>
      <c r="G19" s="15"/>
      <c r="H19" s="15"/>
      <c r="I19" s="15"/>
    </row>
    <row r="20" spans="1:9" ht="18" customHeight="1">
      <c r="A20" s="2">
        <v>14</v>
      </c>
      <c r="B20" s="20"/>
      <c r="C20" s="8"/>
      <c r="D20" s="8"/>
      <c r="E20" s="8"/>
      <c r="F20" s="8"/>
      <c r="G20" s="8"/>
      <c r="H20" s="8"/>
      <c r="I20" s="8"/>
    </row>
    <row r="21" spans="1:9" ht="18" customHeight="1">
      <c r="A21" s="10">
        <v>15</v>
      </c>
      <c r="B21" s="20"/>
      <c r="C21" s="15"/>
      <c r="D21" s="15"/>
      <c r="E21" s="15"/>
      <c r="F21" s="15"/>
      <c r="G21" s="15"/>
      <c r="H21" s="15"/>
      <c r="I21" s="15"/>
    </row>
    <row r="22" spans="1:9" ht="18" customHeight="1">
      <c r="A22" s="2">
        <v>16</v>
      </c>
      <c r="B22" s="20"/>
      <c r="C22" s="8"/>
      <c r="D22" s="8"/>
      <c r="E22" s="8"/>
      <c r="F22" s="8"/>
      <c r="G22" s="8"/>
      <c r="H22" s="8"/>
      <c r="I22" s="8"/>
    </row>
    <row r="23" spans="1:9" ht="18" customHeight="1">
      <c r="A23" s="10">
        <v>17</v>
      </c>
      <c r="B23" s="20"/>
      <c r="C23" s="15"/>
      <c r="D23" s="15"/>
      <c r="E23" s="15"/>
      <c r="F23" s="15"/>
      <c r="G23" s="15"/>
      <c r="H23" s="15"/>
      <c r="I23" s="15"/>
    </row>
    <row r="24" spans="1:9" ht="18" customHeight="1">
      <c r="A24" s="2">
        <v>18</v>
      </c>
      <c r="B24" s="20"/>
      <c r="C24" s="8"/>
      <c r="D24" s="8"/>
      <c r="E24" s="8"/>
      <c r="F24" s="8"/>
      <c r="G24" s="8"/>
      <c r="H24" s="8"/>
      <c r="I24" s="8"/>
    </row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I1"/>
    <mergeCell ref="A2:I2"/>
    <mergeCell ref="A4:I4"/>
  </mergeCells>
  <dataValidations count="2">
    <dataValidation type="list" allowBlank="1" sqref="C7:C24" xr:uid="{00000000-0002-0000-0100-000000000000}">
      <formula1>"Regular,Sunday Cohort"</formula1>
    </dataValidation>
    <dataValidation type="list" allowBlank="1" sqref="G7:G24" xr:uid="{00000000-0002-0000-0100-000001000000}">
      <formula1>"Yes,No"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064"/>
  </sheetPr>
  <dimension ref="A1:P1000"/>
  <sheetViews>
    <sheetView showGridLines="0" workbookViewId="0">
      <selection sqref="A1:P1"/>
    </sheetView>
  </sheetViews>
  <sheetFormatPr defaultColWidth="14.453125" defaultRowHeight="15" customHeight="1"/>
  <cols>
    <col min="1" max="1" width="7.26953125" customWidth="1"/>
    <col min="2" max="2" width="16" customWidth="1"/>
    <col min="3" max="3" width="8" customWidth="1"/>
    <col min="4" max="4" width="9.7265625" customWidth="1"/>
    <col min="5" max="5" width="6" customWidth="1"/>
    <col min="6" max="6" width="12.54296875" customWidth="1"/>
    <col min="7" max="7" width="8" customWidth="1"/>
    <col min="8" max="8" width="11.54296875" customWidth="1"/>
    <col min="9" max="9" width="6" customWidth="1"/>
    <col min="10" max="10" width="11.08984375" customWidth="1"/>
    <col min="11" max="11" width="6" customWidth="1"/>
    <col min="12" max="12" width="18" customWidth="1"/>
    <col min="13" max="13" width="6" customWidth="1"/>
    <col min="14" max="14" width="15.26953125" customWidth="1"/>
    <col min="15" max="15" width="5.453125" customWidth="1"/>
    <col min="16" max="16" width="19.81640625" customWidth="1"/>
    <col min="17" max="26" width="8.54296875" customWidth="1"/>
  </cols>
  <sheetData>
    <row r="1" spans="1:16" ht="30" customHeight="1">
      <c r="A1" s="184" t="s">
        <v>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50"/>
    </row>
    <row r="2" spans="1:16" ht="15.75" customHeight="1">
      <c r="A2" s="185" t="s">
        <v>16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50"/>
    </row>
    <row r="3" spans="1:16" ht="7.5" customHeight="1"/>
    <row r="4" spans="1:16" ht="21.75" customHeight="1">
      <c r="A4" s="194" t="s">
        <v>21</v>
      </c>
      <c r="B4" s="149"/>
      <c r="C4" s="150"/>
      <c r="D4" s="186" t="s">
        <v>25</v>
      </c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50"/>
    </row>
    <row r="5" spans="1:16" ht="31.5" customHeight="1">
      <c r="A5" s="9" t="s">
        <v>32</v>
      </c>
      <c r="B5" s="187" t="s">
        <v>34</v>
      </c>
      <c r="C5" s="188"/>
      <c r="D5" s="189"/>
      <c r="E5" s="21">
        <f>IFERROR(MATCH($B$5,'👥 All Students'!$A:$A,0),IFERROR(MATCH($B$5,'👥 All Students'!$B:$B,0),IFERROR(MATCH($B$5,'👥 All Students'!$C:$C,0),0)))</f>
        <v>0</v>
      </c>
      <c r="F5" s="190" t="s">
        <v>57</v>
      </c>
      <c r="G5" s="150"/>
      <c r="H5" s="191" t="str">
        <f t="array" ref="H5">IF($E$5=0,"",IF(COUNTIF('👥 All Students'!$B:$B,INDEX('👥 All Students'!$B:$B,$E$5))+COUNTIF('👥 All Students'!$C:$C,INDEX('👥 All Students'!$C:$C,$E$5))&gt;2,"⚠️  Multiple students share this name — use exact Matric No. for precision",""))</f>
        <v/>
      </c>
      <c r="I5" s="149"/>
      <c r="J5" s="149"/>
      <c r="K5" s="149"/>
      <c r="L5" s="149"/>
      <c r="M5" s="149"/>
      <c r="N5" s="149"/>
      <c r="O5" s="149"/>
      <c r="P5" s="150"/>
    </row>
    <row r="6" spans="1:16" ht="7.5" customHeight="1"/>
    <row r="7" spans="1:16" ht="24" customHeight="1">
      <c r="A7" s="168" t="s">
        <v>72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50"/>
    </row>
    <row r="8" spans="1:16" ht="24" customHeight="1">
      <c r="A8" s="180" t="s">
        <v>41</v>
      </c>
      <c r="B8" s="150"/>
      <c r="C8" s="192" t="str">
        <f t="array" ref="C8">IF($E$5=0,"— not found —",INDEX('👥 All Students'!$A:$A,$E$5))</f>
        <v>— not found —</v>
      </c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50"/>
    </row>
    <row r="9" spans="1:16" ht="19.5" customHeight="1">
      <c r="A9" s="180" t="s">
        <v>43</v>
      </c>
      <c r="B9" s="150"/>
      <c r="C9" s="182" t="str">
        <f t="array" ref="C9">IF($E$5=0,"—",INDEX('👥 All Students'!$B:$B,$E$5))</f>
        <v>—</v>
      </c>
      <c r="D9" s="149"/>
      <c r="E9" s="149"/>
      <c r="F9" s="149"/>
      <c r="G9" s="149"/>
      <c r="H9" s="150"/>
      <c r="I9" s="180" t="s">
        <v>44</v>
      </c>
      <c r="J9" s="150"/>
      <c r="K9" s="182" t="str">
        <f t="array" ref="K9">IF($E$5=0,"—",INDEX('👥 All Students'!$C:$C,$E$5))</f>
        <v>—</v>
      </c>
      <c r="L9" s="149"/>
      <c r="M9" s="149"/>
      <c r="N9" s="149"/>
      <c r="O9" s="149"/>
      <c r="P9" s="150"/>
    </row>
    <row r="10" spans="1:16" ht="19.5" customHeight="1">
      <c r="A10" s="180" t="s">
        <v>45</v>
      </c>
      <c r="B10" s="150"/>
      <c r="C10" s="182" t="str">
        <f t="array" ref="C10">IF($E$5=0,"—",INDEX('👥 All Students'!$D:$D,$E$5))</f>
        <v>—</v>
      </c>
      <c r="D10" s="149"/>
      <c r="E10" s="149"/>
      <c r="F10" s="149"/>
      <c r="G10" s="149"/>
      <c r="H10" s="150"/>
      <c r="I10" s="180" t="s">
        <v>79</v>
      </c>
      <c r="J10" s="150"/>
      <c r="K10" s="182" t="str">
        <f t="array" ref="K10">IF($E$5=0,"—",INDEX('👥 All Students'!$E:$E,$E$5))</f>
        <v>—</v>
      </c>
      <c r="L10" s="149"/>
      <c r="M10" s="149"/>
      <c r="N10" s="149"/>
      <c r="O10" s="149"/>
      <c r="P10" s="150"/>
    </row>
    <row r="11" spans="1:16" ht="19.5" customHeight="1">
      <c r="A11" s="180" t="s">
        <v>82</v>
      </c>
      <c r="B11" s="150"/>
      <c r="C11" s="182" t="str">
        <f t="array" ref="C11">IF($E$5=0,"—",INDEX('👥 All Students'!$F:$F,$E$5))</f>
        <v>—</v>
      </c>
      <c r="D11" s="149"/>
      <c r="E11" s="149"/>
      <c r="F11" s="149"/>
      <c r="G11" s="149"/>
      <c r="H11" s="150"/>
      <c r="I11" s="180" t="s">
        <v>83</v>
      </c>
      <c r="J11" s="150"/>
      <c r="K11" s="182" t="str">
        <f t="array" ref="K11">IF($E$5=0,"—",INDEX('👥 All Students'!$G:$G,$E$5))</f>
        <v>—</v>
      </c>
      <c r="L11" s="149"/>
      <c r="M11" s="149"/>
      <c r="N11" s="149"/>
      <c r="O11" s="149"/>
      <c r="P11" s="150"/>
    </row>
    <row r="12" spans="1:16" ht="19.5" customHeight="1">
      <c r="A12" s="180" t="s">
        <v>85</v>
      </c>
      <c r="B12" s="150"/>
      <c r="C12" s="183" t="str">
        <f t="array" ref="C12">IF($E$5=0,"—",INDEX('👥 All Students'!$H:$H,$E$5))</f>
        <v>—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50"/>
    </row>
    <row r="13" spans="1:16" ht="19.5" customHeight="1">
      <c r="A13" s="180" t="s">
        <v>51</v>
      </c>
      <c r="B13" s="150"/>
      <c r="C13" s="182" t="str">
        <f t="array" ref="C13">IF($E$5=0,"—",INDEX('👥 All Students'!$I:$I,$E$5))</f>
        <v>—</v>
      </c>
      <c r="D13" s="149"/>
      <c r="E13" s="149"/>
      <c r="F13" s="149"/>
      <c r="G13" s="149"/>
      <c r="H13" s="150"/>
      <c r="I13" s="180" t="s">
        <v>52</v>
      </c>
      <c r="J13" s="150"/>
      <c r="K13" s="182" t="str">
        <f t="array" ref="K13">IF($E$5=0,"—",INDEX('👥 All Students'!$J:$J,$E$5))</f>
        <v>—</v>
      </c>
      <c r="L13" s="149"/>
      <c r="M13" s="149"/>
      <c r="N13" s="149"/>
      <c r="O13" s="149"/>
      <c r="P13" s="150"/>
    </row>
    <row r="14" spans="1:16" ht="19.5" customHeight="1">
      <c r="A14" s="180" t="s">
        <v>53</v>
      </c>
      <c r="B14" s="150"/>
      <c r="C14" s="182" t="str">
        <f t="array" ref="C14">IF($E$5=0,"—",INDEX('👥 All Students'!$K:$K,$E$5))</f>
        <v>—</v>
      </c>
      <c r="D14" s="149"/>
      <c r="E14" s="149"/>
      <c r="F14" s="149"/>
      <c r="G14" s="149"/>
      <c r="H14" s="150"/>
      <c r="I14" s="180" t="s">
        <v>68</v>
      </c>
      <c r="J14" s="150"/>
      <c r="K14" s="182" t="str">
        <f t="array" ref="K14">IF($E$5=0,"—",INDEX('👥 All Students'!$Y:$Y,$E$5))</f>
        <v>—</v>
      </c>
      <c r="L14" s="149"/>
      <c r="M14" s="149"/>
      <c r="N14" s="149"/>
      <c r="O14" s="149"/>
      <c r="P14" s="150"/>
    </row>
    <row r="15" spans="1:16" ht="19.5" customHeight="1">
      <c r="A15" s="180" t="s">
        <v>54</v>
      </c>
      <c r="B15" s="150"/>
      <c r="C15" s="182" t="str">
        <f t="array" ref="C15">IF($E$5=0,"—",INDEX('👥 All Students'!$L:$L,$E$5))</f>
        <v>—</v>
      </c>
      <c r="D15" s="149"/>
      <c r="E15" s="149"/>
      <c r="F15" s="149"/>
      <c r="G15" s="149"/>
      <c r="H15" s="150"/>
      <c r="I15" s="180" t="s">
        <v>90</v>
      </c>
      <c r="J15" s="150"/>
      <c r="K15" s="182" t="str">
        <f t="array" ref="K15">IF($E$5=0,"—",INDEX('👥 All Students'!$M:$M,$E$5))</f>
        <v>—</v>
      </c>
      <c r="L15" s="149"/>
      <c r="M15" s="149"/>
      <c r="N15" s="149"/>
      <c r="O15" s="149"/>
      <c r="P15" s="150"/>
    </row>
    <row r="16" spans="1:16" ht="19.5" customHeight="1">
      <c r="A16" s="180" t="s">
        <v>65</v>
      </c>
      <c r="B16" s="181"/>
      <c r="C16" s="193" t="str">
        <f t="array" ref="C16">IF($E$5=0,"—",INDEX('👥 All Students'!$V:$V,$E$5))</f>
        <v>—</v>
      </c>
      <c r="D16" s="149"/>
      <c r="E16" s="149"/>
      <c r="F16" s="149"/>
      <c r="G16" s="149"/>
      <c r="H16" s="150"/>
    </row>
    <row r="17" spans="1:16" ht="19.5" customHeight="1">
      <c r="A17" s="180" t="s">
        <v>66</v>
      </c>
      <c r="B17" s="150"/>
      <c r="C17" s="182" t="str">
        <f t="array" ref="C17">IF($E$5=0,"—",INDEX('👥 All Students'!$W:$W,$E$5))</f>
        <v>—</v>
      </c>
      <c r="D17" s="149"/>
      <c r="E17" s="149"/>
      <c r="F17" s="149"/>
      <c r="G17" s="149"/>
      <c r="H17" s="150"/>
      <c r="I17" s="180" t="s">
        <v>67</v>
      </c>
      <c r="J17" s="150"/>
      <c r="K17" s="182" t="str">
        <f t="array" ref="K17">IF($E$5=0,"—",INDEX('👥 All Students'!$X:$X,$E$5))</f>
        <v>—</v>
      </c>
      <c r="L17" s="149"/>
      <c r="M17" s="149"/>
      <c r="N17" s="149"/>
      <c r="O17" s="149"/>
      <c r="P17" s="150"/>
    </row>
    <row r="18" spans="1:16" ht="19.5" customHeight="1">
      <c r="A18" s="180" t="s">
        <v>56</v>
      </c>
      <c r="B18" s="150"/>
      <c r="C18" s="182" t="str">
        <f t="array" ref="C18">IF($E$5=0,"—",INDEX('👥 All Students'!$N:$N,$E$5))</f>
        <v>—</v>
      </c>
      <c r="D18" s="149"/>
      <c r="E18" s="149"/>
      <c r="F18" s="149"/>
      <c r="G18" s="149"/>
      <c r="H18" s="150"/>
      <c r="I18" s="180" t="s">
        <v>105</v>
      </c>
      <c r="J18" s="150"/>
      <c r="K18" s="182" t="str">
        <f t="array" ref="K18">IF($E$5=0,"—",INDEX('👥 All Students'!$P:$P,$E$5))</f>
        <v>—</v>
      </c>
      <c r="L18" s="149"/>
      <c r="M18" s="149"/>
      <c r="N18" s="149"/>
      <c r="O18" s="149"/>
      <c r="P18" s="150"/>
    </row>
    <row r="19" spans="1:16" ht="19.5" customHeight="1">
      <c r="A19" s="180" t="s">
        <v>69</v>
      </c>
      <c r="B19" s="150"/>
      <c r="C19" s="182" t="str">
        <f t="array" ref="C19">IF($E$5=0,"—",INDEX('👥 All Students'!$Z:$Z,$E$5))</f>
        <v>—</v>
      </c>
      <c r="D19" s="149"/>
      <c r="E19" s="149"/>
      <c r="F19" s="149"/>
      <c r="G19" s="149"/>
      <c r="H19" s="150"/>
      <c r="I19" s="180" t="s">
        <v>114</v>
      </c>
      <c r="J19" s="150"/>
      <c r="K19" s="182" t="str">
        <f t="array" ref="K19">IF($E$5=0,"—",INDEX('👥 All Students'!$AA:$AA,$E$5))</f>
        <v>—</v>
      </c>
      <c r="L19" s="149"/>
      <c r="M19" s="149"/>
      <c r="N19" s="149"/>
      <c r="O19" s="149"/>
      <c r="P19" s="150"/>
    </row>
    <row r="20" spans="1:16" ht="19.5" customHeight="1">
      <c r="A20" s="180" t="s">
        <v>15</v>
      </c>
      <c r="B20" s="150"/>
      <c r="C20" s="183" t="str">
        <f t="array" ref="C20">IF($E$5=0,"—",INDEX('👥 All Students'!$AB:$AB,$E$5))</f>
        <v>—</v>
      </c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50"/>
    </row>
    <row r="21" spans="1:16" ht="7.5" customHeight="1"/>
    <row r="22" spans="1:16" ht="25.5" customHeight="1">
      <c r="A22" s="195" t="s">
        <v>122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50"/>
    </row>
    <row r="23" spans="1:16" ht="15.75" customHeight="1">
      <c r="A23" s="196" t="s">
        <v>126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50"/>
    </row>
    <row r="24" spans="1:16" ht="9.75" customHeight="1"/>
    <row r="25" spans="1:16" ht="24" customHeight="1">
      <c r="A25" s="197" t="s">
        <v>129</v>
      </c>
      <c r="B25" s="149"/>
      <c r="C25" s="150"/>
      <c r="D25" s="197" t="s">
        <v>131</v>
      </c>
      <c r="E25" s="149"/>
      <c r="F25" s="150"/>
      <c r="G25" s="197" t="s">
        <v>133</v>
      </c>
      <c r="H25" s="149"/>
      <c r="I25" s="150"/>
      <c r="J25" s="197" t="s">
        <v>136</v>
      </c>
      <c r="K25" s="149"/>
      <c r="L25" s="149"/>
      <c r="M25" s="150"/>
      <c r="N25" s="64" t="s">
        <v>137</v>
      </c>
      <c r="O25" s="198" t="s">
        <v>138</v>
      </c>
      <c r="P25" s="150"/>
    </row>
    <row r="26" spans="1:16" ht="36" customHeight="1">
      <c r="A26" s="205" t="str">
        <f>IFERROR(VLOOKUP($C$8,'📝 S1 Quiz'!$A:$L,12,0),"—")</f>
        <v>—</v>
      </c>
      <c r="B26" s="149"/>
      <c r="C26" s="150"/>
      <c r="D26" s="206" t="str">
        <f>IFERROR(VLOOKUP($C$8,'📄 S1 Exam'!$A:$D,4,0),"—")</f>
        <v>—</v>
      </c>
      <c r="E26" s="149"/>
      <c r="F26" s="150"/>
      <c r="G26" s="207" t="str">
        <f>IFERROR(VLOOKUP($C$8,'🎓 S1 Results'!$A:$F,6,0),"—")</f>
        <v>—</v>
      </c>
      <c r="H26" s="149"/>
      <c r="I26" s="150"/>
      <c r="J26" s="208" t="str">
        <f>IFERROR(VLOOKUP($C$8,'🎓 S1 Results'!$A:$K,11,0),"—")</f>
        <v>—</v>
      </c>
      <c r="K26" s="149"/>
      <c r="L26" s="149"/>
      <c r="M26" s="150"/>
      <c r="N26" s="71" t="str">
        <f>IFERROR(VLOOKUP($C$8,'🎓 S1 Results'!$A:$M,13,0),"—")</f>
        <v>—</v>
      </c>
      <c r="O26" s="207" t="str">
        <f>IFERROR(VLOOKUP($C$8,'🎓 S1 Results'!$A:$G,7,0),"—")</f>
        <v>—</v>
      </c>
      <c r="P26" s="150"/>
    </row>
    <row r="27" spans="1:16" ht="9.75" customHeight="1"/>
    <row r="28" spans="1:16" ht="21.75" customHeight="1">
      <c r="A28" s="177" t="s">
        <v>149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50"/>
    </row>
    <row r="29" spans="1:16" ht="19.5" customHeight="1">
      <c r="A29" s="197" t="s">
        <v>151</v>
      </c>
      <c r="B29" s="150"/>
      <c r="C29" s="73" t="s">
        <v>152</v>
      </c>
      <c r="D29" s="73" t="s">
        <v>67</v>
      </c>
      <c r="E29" s="197" t="s">
        <v>151</v>
      </c>
      <c r="F29" s="150"/>
      <c r="G29" s="73" t="s">
        <v>152</v>
      </c>
      <c r="H29" s="73" t="s">
        <v>67</v>
      </c>
      <c r="I29" s="197" t="s">
        <v>151</v>
      </c>
      <c r="J29" s="150"/>
      <c r="K29" s="73" t="s">
        <v>152</v>
      </c>
      <c r="L29" s="73" t="s">
        <v>67</v>
      </c>
      <c r="M29" s="197" t="s">
        <v>151</v>
      </c>
      <c r="N29" s="150"/>
      <c r="O29" s="73" t="s">
        <v>152</v>
      </c>
      <c r="P29" s="73" t="s">
        <v>67</v>
      </c>
    </row>
    <row r="30" spans="1:16" ht="21.75" customHeight="1">
      <c r="A30" s="201" t="s">
        <v>98</v>
      </c>
      <c r="B30" s="150"/>
      <c r="C30" s="75" t="str">
        <f>IFERROR(VLOOKUP($C$8,'📝 S1 Quiz'!$A:$L,4,0),"")</f>
        <v/>
      </c>
      <c r="D30" s="76" t="str">
        <f>IF($C$8="","",IF(IFERROR(VLOOKUP($C$8,'📝 S1 Quiz'!$A:$L,4,0),"")="","⬜ Pending",IF(IFERROR(VLOOKUP($C$8,'📝 S1 Quiz'!$A:$L,4,0),0)=0,"❌ Zero","✅ Done")))</f>
        <v>⬜ Pending</v>
      </c>
      <c r="E30" s="201" t="s">
        <v>99</v>
      </c>
      <c r="F30" s="150"/>
      <c r="G30" s="75" t="str">
        <f>IFERROR(VLOOKUP($C$8,'📝 S1 Quiz'!$A:$L,5,0),"")</f>
        <v/>
      </c>
      <c r="H30" s="76" t="str">
        <f>IF($C$8="","",IF(IFERROR(VLOOKUP($C$8,'📝 S1 Quiz'!$A:$L,5,0),"")="","⬜ Pending",IF(IFERROR(VLOOKUP($C$8,'📝 S1 Quiz'!$A:$L,5,0),0)=0,"❌ Zero","✅ Done")))</f>
        <v>⬜ Pending</v>
      </c>
      <c r="I30" s="201" t="s">
        <v>100</v>
      </c>
      <c r="J30" s="150"/>
      <c r="K30" s="75" t="str">
        <f>IFERROR(VLOOKUP($C$8,'📝 S1 Quiz'!$A:$L,6,0),"")</f>
        <v/>
      </c>
      <c r="L30" s="76" t="str">
        <f>IF($C$8="","",IF(IFERROR(VLOOKUP($C$8,'📝 S1 Quiz'!$A:$L,6,0),"")="","⬜ Pending",IF(IFERROR(VLOOKUP($C$8,'📝 S1 Quiz'!$A:$L,6,0),0)=0,"❌ Zero","✅ Done")))</f>
        <v>⬜ Pending</v>
      </c>
      <c r="M30" s="201" t="s">
        <v>101</v>
      </c>
      <c r="N30" s="150"/>
      <c r="O30" s="75" t="str">
        <f>IFERROR(VLOOKUP($C$8,'📝 S1 Quiz'!$A:$L,7,0),"")</f>
        <v/>
      </c>
      <c r="P30" s="76" t="str">
        <f>IF($C$8="","",IF(IFERROR(VLOOKUP($C$8,'📝 S1 Quiz'!$A:$L,7,0),"")="","⬜ Pending",IF(IFERROR(VLOOKUP($C$8,'📝 S1 Quiz'!$A:$L,7,0),0)=0,"❌ Zero","✅ Done")))</f>
        <v>⬜ Pending</v>
      </c>
    </row>
    <row r="31" spans="1:16" ht="21.75" customHeight="1">
      <c r="A31" s="201" t="s">
        <v>102</v>
      </c>
      <c r="B31" s="150"/>
      <c r="C31" s="75" t="str">
        <f>IFERROR(VLOOKUP($C$8,'📝 S1 Quiz'!$A:$L,8,0),"")</f>
        <v/>
      </c>
      <c r="D31" s="76" t="str">
        <f>IF($C$8="","",IF(IFERROR(VLOOKUP($C$8,'📝 S1 Quiz'!$A:$L,8,0),"")="","⬜ Pending",IF(IFERROR(VLOOKUP($C$8,'📝 S1 Quiz'!$A:$L,8,0),0)=0,"❌ Zero","✅ Done")))</f>
        <v>⬜ Pending</v>
      </c>
      <c r="E31" s="201" t="s">
        <v>103</v>
      </c>
      <c r="F31" s="150"/>
      <c r="G31" s="75" t="str">
        <f>IFERROR(VLOOKUP($C$8,'📝 S1 Quiz'!$A:$L,9,0),"")</f>
        <v/>
      </c>
      <c r="H31" s="76" t="str">
        <f>IF($C$8="","",IF(IFERROR(VLOOKUP($C$8,'📝 S1 Quiz'!$A:$L,9,0),"")="","⬜ Pending",IF(IFERROR(VLOOKUP($C$8,'📝 S1 Quiz'!$A:$L,9,0),0)=0,"❌ Zero","✅ Done")))</f>
        <v>⬜ Pending</v>
      </c>
      <c r="I31" s="201" t="s">
        <v>161</v>
      </c>
      <c r="J31" s="150"/>
      <c r="K31" s="75" t="str">
        <f>IFERROR(VLOOKUP($C$8,'📝 S1 Quiz'!$A:$L,10,0),"")</f>
        <v/>
      </c>
      <c r="L31" s="76" t="str">
        <f>IF($C$8="","",IF(IFERROR(VLOOKUP($C$8,'📝 S1 Quiz'!$A:$L,10,0),"")="","⬜ Pending",IF(IFERROR(VLOOKUP($C$8,'📝 S1 Quiz'!$A:$L,10,0),0)=0,"❌ Zero","✅ Done")))</f>
        <v>⬜ Pending</v>
      </c>
      <c r="M31" s="201" t="s">
        <v>104</v>
      </c>
      <c r="N31" s="150"/>
      <c r="O31" s="75" t="str">
        <f>IFERROR(VLOOKUP($C$8,'📝 S1 Quiz'!$A:$L,11,0),"")</f>
        <v/>
      </c>
      <c r="P31" s="76" t="str">
        <f>IF($C$8="","",IF(IFERROR(VLOOKUP($C$8,'📝 S1 Quiz'!$A:$L,11,0),"")="","⬜ Pending",IF(IFERROR(VLOOKUP($C$8,'📝 S1 Quiz'!$A:$L,11,0),0)=0,"❌ Zero","✅ Done")))</f>
        <v>⬜ Pending</v>
      </c>
    </row>
    <row r="32" spans="1:16" ht="9.75" customHeight="1"/>
    <row r="33" spans="1:16" ht="21.75" customHeight="1">
      <c r="A33" s="170" t="s">
        <v>174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50"/>
    </row>
    <row r="34" spans="1:16" ht="25.5" customHeight="1">
      <c r="A34" s="197" t="s">
        <v>131</v>
      </c>
      <c r="B34" s="149"/>
      <c r="C34" s="150"/>
      <c r="D34" s="198" t="s">
        <v>170</v>
      </c>
      <c r="E34" s="150"/>
      <c r="F34" s="198" t="s">
        <v>176</v>
      </c>
      <c r="G34" s="150"/>
      <c r="H34" s="197" t="s">
        <v>168</v>
      </c>
      <c r="I34" s="149"/>
      <c r="J34" s="149"/>
      <c r="K34" s="150"/>
      <c r="L34" s="197" t="s">
        <v>169</v>
      </c>
      <c r="M34" s="149"/>
      <c r="N34" s="150"/>
      <c r="O34" s="198" t="s">
        <v>171</v>
      </c>
      <c r="P34" s="150"/>
    </row>
    <row r="35" spans="1:16" ht="33.75" customHeight="1">
      <c r="A35" s="209" t="str">
        <f>IFERROR(VLOOKUP($C$8,'📄 S1 Exam'!$A:$D,4,0),"—")</f>
        <v>—</v>
      </c>
      <c r="B35" s="149"/>
      <c r="C35" s="150"/>
      <c r="D35" s="210" t="str">
        <f>IF(IFERROR(VLOOKUP($C$8,'📄 S1 Exam'!$A:$D,4,0),"")="","—",TEXT(IFERROR(VLOOKUP($C$8,'📄 S1 Exam'!$A:$D,4,0),0)/60,"0%"))</f>
        <v>—</v>
      </c>
      <c r="E35" s="150"/>
      <c r="F35" s="211" t="str">
        <f>IFERROR(VLOOKUP($C$8,'📄 S1 Exam'!$A:$I,9,0),"—")</f>
        <v>—</v>
      </c>
      <c r="G35" s="150"/>
      <c r="H35" s="212" t="str">
        <f>IFERROR(VLOOKUP($C$8,'📄 S1 Exam'!$A:$E,5,0),"—")</f>
        <v>—</v>
      </c>
      <c r="I35" s="149"/>
      <c r="J35" s="149"/>
      <c r="K35" s="150"/>
      <c r="L35" s="212" t="str">
        <f>IFERROR(VLOOKUP($C$8,'📄 S1 Exam'!$A:$F,6,0),"—")</f>
        <v>—</v>
      </c>
      <c r="M35" s="149"/>
      <c r="N35" s="150"/>
      <c r="O35" s="211" t="str">
        <f>IFERROR(VLOOKUP($C$8,'📄 S1 Exam'!$A:$H,8,0),"—")</f>
        <v>—</v>
      </c>
      <c r="P35" s="150"/>
    </row>
    <row r="36" spans="1:16" ht="9.75" customHeight="1"/>
    <row r="37" spans="1:16" ht="21.75" customHeight="1">
      <c r="A37" s="213" t="s">
        <v>183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50"/>
    </row>
    <row r="38" spans="1:16" ht="15.75" customHeight="1">
      <c r="A38" s="214" t="s">
        <v>184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50"/>
    </row>
    <row r="39" spans="1:16" ht="19.5" customHeight="1">
      <c r="A39" s="64" t="s">
        <v>6</v>
      </c>
      <c r="B39" s="198" t="s">
        <v>186</v>
      </c>
      <c r="C39" s="149"/>
      <c r="D39" s="149"/>
      <c r="E39" s="149"/>
      <c r="F39" s="149"/>
      <c r="G39" s="150"/>
      <c r="H39" s="197" t="s">
        <v>10</v>
      </c>
      <c r="I39" s="149"/>
      <c r="J39" s="150"/>
      <c r="K39" s="198" t="s">
        <v>67</v>
      </c>
      <c r="L39" s="149"/>
      <c r="M39" s="149"/>
      <c r="N39" s="149"/>
      <c r="O39" s="149"/>
      <c r="P39" s="150"/>
    </row>
    <row r="40" spans="1:16" ht="18" customHeight="1">
      <c r="A40" s="76">
        <v>1</v>
      </c>
      <c r="B40" s="201" t="s">
        <v>98</v>
      </c>
      <c r="C40" s="149"/>
      <c r="D40" s="149"/>
      <c r="E40" s="149"/>
      <c r="F40" s="149"/>
      <c r="G40" s="150"/>
      <c r="H40" s="199" t="s">
        <v>187</v>
      </c>
      <c r="I40" s="149"/>
      <c r="J40" s="150"/>
      <c r="K40" s="175" t="str">
        <f>IF($C$8="","",IF(IFERROR(VLOOKUP($C$8,'📝 S1 Quiz'!$A:$L,4,0),"")="","⬜ Quiz not entered",""))</f>
        <v>⬜ Quiz not entered</v>
      </c>
      <c r="L40" s="149"/>
      <c r="M40" s="149"/>
      <c r="N40" s="149"/>
      <c r="O40" s="149"/>
      <c r="P40" s="150"/>
    </row>
    <row r="41" spans="1:16" ht="18" customHeight="1">
      <c r="A41" s="87">
        <v>2</v>
      </c>
      <c r="B41" s="200" t="s">
        <v>99</v>
      </c>
      <c r="C41" s="149"/>
      <c r="D41" s="149"/>
      <c r="E41" s="149"/>
      <c r="F41" s="149"/>
      <c r="G41" s="150"/>
      <c r="H41" s="199" t="s">
        <v>187</v>
      </c>
      <c r="I41" s="149"/>
      <c r="J41" s="150"/>
      <c r="K41" s="174" t="str">
        <f>IF($C$8="","",IF(IFERROR(VLOOKUP($C$8,'📝 S1 Quiz'!$A:$L,5,0),"")="","⬜ Quiz not entered",""))</f>
        <v>⬜ Quiz not entered</v>
      </c>
      <c r="L41" s="149"/>
      <c r="M41" s="149"/>
      <c r="N41" s="149"/>
      <c r="O41" s="149"/>
      <c r="P41" s="150"/>
    </row>
    <row r="42" spans="1:16" ht="18" customHeight="1">
      <c r="A42" s="76">
        <v>3</v>
      </c>
      <c r="B42" s="201" t="s">
        <v>100</v>
      </c>
      <c r="C42" s="149"/>
      <c r="D42" s="149"/>
      <c r="E42" s="149"/>
      <c r="F42" s="149"/>
      <c r="G42" s="150"/>
      <c r="H42" s="199" t="s">
        <v>187</v>
      </c>
      <c r="I42" s="149"/>
      <c r="J42" s="150"/>
      <c r="K42" s="175" t="str">
        <f>IF($C$8="","",IF(IFERROR(VLOOKUP($C$8,'📝 S1 Quiz'!$A:$L,6,0),"")="","⬜ Quiz not entered",""))</f>
        <v>⬜ Quiz not entered</v>
      </c>
      <c r="L42" s="149"/>
      <c r="M42" s="149"/>
      <c r="N42" s="149"/>
      <c r="O42" s="149"/>
      <c r="P42" s="150"/>
    </row>
    <row r="43" spans="1:16" ht="18" customHeight="1">
      <c r="A43" s="87">
        <v>4</v>
      </c>
      <c r="B43" s="200" t="s">
        <v>101</v>
      </c>
      <c r="C43" s="149"/>
      <c r="D43" s="149"/>
      <c r="E43" s="149"/>
      <c r="F43" s="149"/>
      <c r="G43" s="150"/>
      <c r="H43" s="199" t="s">
        <v>187</v>
      </c>
      <c r="I43" s="149"/>
      <c r="J43" s="150"/>
      <c r="K43" s="174" t="str">
        <f>IF($C$8="","",IF(IFERROR(VLOOKUP($C$8,'📝 S1 Quiz'!$A:$L,7,0),"")="","⬜ Quiz not entered",""))</f>
        <v>⬜ Quiz not entered</v>
      </c>
      <c r="L43" s="149"/>
      <c r="M43" s="149"/>
      <c r="N43" s="149"/>
      <c r="O43" s="149"/>
      <c r="P43" s="150"/>
    </row>
    <row r="44" spans="1:16" ht="18" customHeight="1">
      <c r="A44" s="76">
        <v>5</v>
      </c>
      <c r="B44" s="201" t="s">
        <v>102</v>
      </c>
      <c r="C44" s="149"/>
      <c r="D44" s="149"/>
      <c r="E44" s="149"/>
      <c r="F44" s="149"/>
      <c r="G44" s="150"/>
      <c r="H44" s="199" t="s">
        <v>187</v>
      </c>
      <c r="I44" s="149"/>
      <c r="J44" s="150"/>
      <c r="K44" s="175" t="str">
        <f>IF($C$8="","",IF(IFERROR(VLOOKUP($C$8,'📝 S1 Quiz'!$A:$L,8,0),"")="","⬜ Quiz not entered",""))</f>
        <v>⬜ Quiz not entered</v>
      </c>
      <c r="L44" s="149"/>
      <c r="M44" s="149"/>
      <c r="N44" s="149"/>
      <c r="O44" s="149"/>
      <c r="P44" s="150"/>
    </row>
    <row r="45" spans="1:16" ht="18" customHeight="1">
      <c r="A45" s="87">
        <v>6</v>
      </c>
      <c r="B45" s="200" t="s">
        <v>103</v>
      </c>
      <c r="C45" s="149"/>
      <c r="D45" s="149"/>
      <c r="E45" s="149"/>
      <c r="F45" s="149"/>
      <c r="G45" s="150"/>
      <c r="H45" s="199" t="s">
        <v>187</v>
      </c>
      <c r="I45" s="149"/>
      <c r="J45" s="150"/>
      <c r="K45" s="174" t="str">
        <f>IF($C$8="","",IF(IFERROR(VLOOKUP($C$8,'📝 S1 Quiz'!$A:$L,9,0),"")="","⬜ Quiz not entered",""))</f>
        <v>⬜ Quiz not entered</v>
      </c>
      <c r="L45" s="149"/>
      <c r="M45" s="149"/>
      <c r="N45" s="149"/>
      <c r="O45" s="149"/>
      <c r="P45" s="150"/>
    </row>
    <row r="46" spans="1:16" ht="18" customHeight="1">
      <c r="A46" s="76">
        <v>7</v>
      </c>
      <c r="B46" s="201" t="s">
        <v>161</v>
      </c>
      <c r="C46" s="149"/>
      <c r="D46" s="149"/>
      <c r="E46" s="149"/>
      <c r="F46" s="149"/>
      <c r="G46" s="150"/>
      <c r="H46" s="199" t="s">
        <v>187</v>
      </c>
      <c r="I46" s="149"/>
      <c r="J46" s="150"/>
      <c r="K46" s="175" t="str">
        <f>IF($C$8="","",IF(IFERROR(VLOOKUP($C$8,'📝 S1 Quiz'!$A:$L,10,0),"")="","⬜ Quiz not entered",""))</f>
        <v>⬜ Quiz not entered</v>
      </c>
      <c r="L46" s="149"/>
      <c r="M46" s="149"/>
      <c r="N46" s="149"/>
      <c r="O46" s="149"/>
      <c r="P46" s="150"/>
    </row>
    <row r="47" spans="1:16" ht="18" customHeight="1">
      <c r="A47" s="87">
        <v>8</v>
      </c>
      <c r="B47" s="200" t="s">
        <v>104</v>
      </c>
      <c r="C47" s="149"/>
      <c r="D47" s="149"/>
      <c r="E47" s="149"/>
      <c r="F47" s="149"/>
      <c r="G47" s="150"/>
      <c r="H47" s="199" t="s">
        <v>187</v>
      </c>
      <c r="I47" s="149"/>
      <c r="J47" s="150"/>
      <c r="K47" s="174" t="str">
        <f>IF($C$8="","",IF(IFERROR(VLOOKUP($C$8,'📝 S1 Quiz'!$A:$L,11,0),"")="","⬜ Quiz not entered",""))</f>
        <v>⬜ Quiz not entered</v>
      </c>
      <c r="L47" s="149"/>
      <c r="M47" s="149"/>
      <c r="N47" s="149"/>
      <c r="O47" s="149"/>
      <c r="P47" s="150"/>
    </row>
    <row r="48" spans="1:16" ht="18" customHeight="1">
      <c r="A48" s="76">
        <v>9</v>
      </c>
      <c r="B48" s="201" t="s">
        <v>194</v>
      </c>
      <c r="C48" s="149"/>
      <c r="D48" s="149"/>
      <c r="E48" s="149"/>
      <c r="F48" s="149"/>
      <c r="G48" s="150"/>
      <c r="H48" s="202" t="s">
        <v>195</v>
      </c>
      <c r="I48" s="149"/>
      <c r="J48" s="150"/>
      <c r="K48" s="175" t="str">
        <f>IF($C$8="","",IF(IFERROR(VLOOKUP($C$8,'📄 S1 Exam'!$A:$E,5,0),"")="","⬜ Not recorded",IF(IFERROR(VLOOKUP($C$8,'📄 S1 Exam'!$A:$E,5,0),"")="Attended","","❌ Not Attended")))</f>
        <v>⬜ Not recorded</v>
      </c>
      <c r="L48" s="149"/>
      <c r="M48" s="149"/>
      <c r="N48" s="149"/>
      <c r="O48" s="149"/>
      <c r="P48" s="150"/>
    </row>
    <row r="49" spans="1:16" ht="18" customHeight="1">
      <c r="A49" s="87">
        <v>10</v>
      </c>
      <c r="B49" s="200" t="s">
        <v>197</v>
      </c>
      <c r="C49" s="149"/>
      <c r="D49" s="149"/>
      <c r="E49" s="149"/>
      <c r="F49" s="149"/>
      <c r="G49" s="150"/>
      <c r="H49" s="202" t="s">
        <v>195</v>
      </c>
      <c r="I49" s="149"/>
      <c r="J49" s="150"/>
      <c r="K49" s="174" t="str">
        <f>IF($C$8="","",IF(IFERROR(VLOOKUP($C$8,'📄 S1 Exam'!$A:$F,6,0),"")="","⬜ Not recorded",IF(IFERROR(VLOOKUP($C$8,'📄 S1 Exam'!$A:$F,6,0),"")="Attended","","❌ Not Attended")))</f>
        <v>⬜ Not recorded</v>
      </c>
      <c r="L49" s="149"/>
      <c r="M49" s="149"/>
      <c r="N49" s="149"/>
      <c r="O49" s="149"/>
      <c r="P49" s="150"/>
    </row>
    <row r="50" spans="1:16" ht="18" customHeight="1">
      <c r="A50" s="76">
        <v>11</v>
      </c>
      <c r="B50" s="201" t="s">
        <v>199</v>
      </c>
      <c r="C50" s="149"/>
      <c r="D50" s="149"/>
      <c r="E50" s="149"/>
      <c r="F50" s="149"/>
      <c r="G50" s="150"/>
      <c r="H50" s="203" t="s">
        <v>200</v>
      </c>
      <c r="I50" s="149"/>
      <c r="J50" s="150"/>
      <c r="K50" s="175" t="str">
        <f>IF($C$8="","",IF(IFERROR(VLOOKUP($C$8,'📄 S1 Exam'!$A:$D,4,0),"")="","⬜ Exam not entered",""))</f>
        <v>⬜ Exam not entered</v>
      </c>
      <c r="L50" s="149"/>
      <c r="M50" s="149"/>
      <c r="N50" s="149"/>
      <c r="O50" s="149"/>
      <c r="P50" s="150"/>
    </row>
    <row r="51" spans="1:16" ht="27.75" customHeight="1">
      <c r="A51" s="204" t="str">
        <f>IF($C$8="","Enter a matric number or name in the yellow box above ↑",IF(COUNTA(K40,K41,K42,K43,K44,K45,K46,K47,K48,K49,K50)=0,"✅  All courses and attendance completed — student is eligible for graduation assessment.",COUNTA(K40,K41,K42,K43,K44,K45,K46,K47,K48,K49,K50)&amp;" outstanding item(s) — see highlighted rows above."))</f>
        <v>11 outstanding item(s) — see highlighted rows above.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50"/>
    </row>
    <row r="52" spans="1:16" ht="14.25" customHeight="1"/>
    <row r="53" spans="1:16" ht="14.25" customHeight="1"/>
    <row r="54" spans="1:16" ht="14.25" customHeight="1"/>
    <row r="55" spans="1:16" ht="14.25" customHeight="1"/>
    <row r="56" spans="1:16" ht="14.25" customHeight="1"/>
    <row r="57" spans="1:16" ht="14.25" customHeight="1"/>
    <row r="58" spans="1:16" ht="14.25" customHeight="1"/>
    <row r="59" spans="1:16" ht="14.25" customHeight="1"/>
    <row r="60" spans="1:16" ht="14.25" customHeight="1"/>
    <row r="61" spans="1:16" ht="14.25" customHeight="1"/>
    <row r="62" spans="1:16" ht="14.25" customHeight="1"/>
    <row r="63" spans="1:16" ht="14.25" customHeight="1"/>
    <row r="64" spans="1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9">
    <mergeCell ref="H40:J40"/>
    <mergeCell ref="K40:P40"/>
    <mergeCell ref="B40:G40"/>
    <mergeCell ref="B41:G41"/>
    <mergeCell ref="H41:J41"/>
    <mergeCell ref="K41:P41"/>
    <mergeCell ref="B42:G42"/>
    <mergeCell ref="H42:J42"/>
    <mergeCell ref="K42:P42"/>
    <mergeCell ref="F35:G35"/>
    <mergeCell ref="H35:K35"/>
    <mergeCell ref="L35:N35"/>
    <mergeCell ref="O35:P35"/>
    <mergeCell ref="A37:P37"/>
    <mergeCell ref="A38:P38"/>
    <mergeCell ref="B39:G39"/>
    <mergeCell ref="H39:J39"/>
    <mergeCell ref="K39:P39"/>
    <mergeCell ref="B46:G46"/>
    <mergeCell ref="H46:J46"/>
    <mergeCell ref="K46:P46"/>
    <mergeCell ref="B47:G47"/>
    <mergeCell ref="H47:J47"/>
    <mergeCell ref="K47:P47"/>
    <mergeCell ref="B48:G48"/>
    <mergeCell ref="A26:C26"/>
    <mergeCell ref="D26:F26"/>
    <mergeCell ref="G26:I26"/>
    <mergeCell ref="J26:M26"/>
    <mergeCell ref="O26:P26"/>
    <mergeCell ref="A28:P28"/>
    <mergeCell ref="A29:B29"/>
    <mergeCell ref="M29:N29"/>
    <mergeCell ref="I30:J30"/>
    <mergeCell ref="I31:J31"/>
    <mergeCell ref="E29:F29"/>
    <mergeCell ref="I29:J29"/>
    <mergeCell ref="A30:B30"/>
    <mergeCell ref="E30:F30"/>
    <mergeCell ref="M30:N30"/>
    <mergeCell ref="A31:B31"/>
    <mergeCell ref="E31:F31"/>
    <mergeCell ref="H48:J48"/>
    <mergeCell ref="K48:P48"/>
    <mergeCell ref="B49:G49"/>
    <mergeCell ref="H49:J49"/>
    <mergeCell ref="K49:P49"/>
    <mergeCell ref="B50:G50"/>
    <mergeCell ref="H50:J50"/>
    <mergeCell ref="K50:P50"/>
    <mergeCell ref="A51:P51"/>
    <mergeCell ref="A25:C25"/>
    <mergeCell ref="D25:F25"/>
    <mergeCell ref="G25:I25"/>
    <mergeCell ref="J25:M25"/>
    <mergeCell ref="O25:P25"/>
    <mergeCell ref="H45:J45"/>
    <mergeCell ref="K45:P45"/>
    <mergeCell ref="B43:G43"/>
    <mergeCell ref="H43:J43"/>
    <mergeCell ref="K43:P43"/>
    <mergeCell ref="B44:G44"/>
    <mergeCell ref="H44:J44"/>
    <mergeCell ref="K44:P44"/>
    <mergeCell ref="B45:G45"/>
    <mergeCell ref="M31:N31"/>
    <mergeCell ref="A33:P33"/>
    <mergeCell ref="D34:E34"/>
    <mergeCell ref="F34:G34"/>
    <mergeCell ref="H34:K34"/>
    <mergeCell ref="L34:N34"/>
    <mergeCell ref="O34:P34"/>
    <mergeCell ref="A34:C34"/>
    <mergeCell ref="A35:C35"/>
    <mergeCell ref="D35:E35"/>
    <mergeCell ref="A4:C4"/>
    <mergeCell ref="A8:B8"/>
    <mergeCell ref="A9:B9"/>
    <mergeCell ref="A10:B10"/>
    <mergeCell ref="A11:B11"/>
    <mergeCell ref="A12:B12"/>
    <mergeCell ref="A13:B13"/>
    <mergeCell ref="A22:P22"/>
    <mergeCell ref="A23:P23"/>
    <mergeCell ref="I11:J11"/>
    <mergeCell ref="K11:P11"/>
    <mergeCell ref="C12:P12"/>
    <mergeCell ref="C13:H13"/>
    <mergeCell ref="I13:J13"/>
    <mergeCell ref="K13:P13"/>
    <mergeCell ref="A14:B14"/>
    <mergeCell ref="A15:B15"/>
    <mergeCell ref="C15:H15"/>
    <mergeCell ref="I15:J15"/>
    <mergeCell ref="K15:P15"/>
    <mergeCell ref="A19:B19"/>
    <mergeCell ref="C19:H19"/>
    <mergeCell ref="I19:J19"/>
    <mergeCell ref="K19:P19"/>
    <mergeCell ref="A20:B20"/>
    <mergeCell ref="C20:P20"/>
    <mergeCell ref="A1:P1"/>
    <mergeCell ref="A2:P2"/>
    <mergeCell ref="D4:P4"/>
    <mergeCell ref="B5:D5"/>
    <mergeCell ref="F5:G5"/>
    <mergeCell ref="H5:P5"/>
    <mergeCell ref="A7:P7"/>
    <mergeCell ref="C8:P8"/>
    <mergeCell ref="C9:H9"/>
    <mergeCell ref="I9:J9"/>
    <mergeCell ref="K9:P9"/>
    <mergeCell ref="C10:H10"/>
    <mergeCell ref="I10:J10"/>
    <mergeCell ref="K10:P10"/>
    <mergeCell ref="C14:H14"/>
    <mergeCell ref="I14:J14"/>
    <mergeCell ref="K14:P14"/>
    <mergeCell ref="C11:H11"/>
    <mergeCell ref="A16:B16"/>
    <mergeCell ref="A17:B17"/>
    <mergeCell ref="C17:H17"/>
    <mergeCell ref="I17:J17"/>
    <mergeCell ref="K17:P17"/>
    <mergeCell ref="C18:H18"/>
    <mergeCell ref="I18:J18"/>
    <mergeCell ref="K18:P18"/>
    <mergeCell ref="A18:B18"/>
    <mergeCell ref="C16:H16"/>
  </mergeCells>
  <conditionalFormatting sqref="K40:K50">
    <cfRule type="cellIs" dxfId="46" priority="1" operator="equal">
      <formula>"⬜ Quiz not entered"</formula>
    </cfRule>
  </conditionalFormatting>
  <conditionalFormatting sqref="K40:K50">
    <cfRule type="cellIs" dxfId="45" priority="2" operator="equal">
      <formula>"⬜ Not recorded"</formula>
    </cfRule>
  </conditionalFormatting>
  <conditionalFormatting sqref="K40:K50">
    <cfRule type="cellIs" dxfId="44" priority="3" operator="equal">
      <formula>"⬜ Exam not entered"</formula>
    </cfRule>
  </conditionalFormatting>
  <conditionalFormatting sqref="K40:K50">
    <cfRule type="cellIs" dxfId="43" priority="4" operator="equal">
      <formula>"❌ Not Attended"</formula>
    </cfRule>
  </conditionalFormatting>
  <conditionalFormatting sqref="E30">
    <cfRule type="cellIs" dxfId="42" priority="5" operator="equal">
      <formula>"✅ Done"</formula>
    </cfRule>
  </conditionalFormatting>
  <conditionalFormatting sqref="E30">
    <cfRule type="cellIs" dxfId="41" priority="6" operator="equal">
      <formula>"⬜ Pending"</formula>
    </cfRule>
  </conditionalFormatting>
  <conditionalFormatting sqref="E30">
    <cfRule type="cellIs" dxfId="40" priority="7" operator="equal">
      <formula>"❌ Zero"</formula>
    </cfRule>
  </conditionalFormatting>
  <conditionalFormatting sqref="E31">
    <cfRule type="cellIs" dxfId="39" priority="8" operator="equal">
      <formula>"✅ Done"</formula>
    </cfRule>
  </conditionalFormatting>
  <conditionalFormatting sqref="E31">
    <cfRule type="cellIs" dxfId="38" priority="9" operator="equal">
      <formula>"⬜ Pending"</formula>
    </cfRule>
  </conditionalFormatting>
  <conditionalFormatting sqref="E31">
    <cfRule type="cellIs" dxfId="37" priority="10" operator="equal">
      <formula>"❌ Zero"</formula>
    </cfRule>
  </conditionalFormatting>
  <conditionalFormatting sqref="I30">
    <cfRule type="cellIs" dxfId="36" priority="11" operator="equal">
      <formula>"✅ Done"</formula>
    </cfRule>
  </conditionalFormatting>
  <conditionalFormatting sqref="I30">
    <cfRule type="cellIs" dxfId="35" priority="12" operator="equal">
      <formula>"⬜ Pending"</formula>
    </cfRule>
  </conditionalFormatting>
  <conditionalFormatting sqref="I30">
    <cfRule type="cellIs" dxfId="34" priority="13" operator="equal">
      <formula>"❌ Zero"</formula>
    </cfRule>
  </conditionalFormatting>
  <conditionalFormatting sqref="I31">
    <cfRule type="cellIs" dxfId="33" priority="14" operator="equal">
      <formula>"✅ Done"</formula>
    </cfRule>
  </conditionalFormatting>
  <conditionalFormatting sqref="I31">
    <cfRule type="cellIs" dxfId="32" priority="15" operator="equal">
      <formula>"⬜ Pending"</formula>
    </cfRule>
  </conditionalFormatting>
  <conditionalFormatting sqref="I31">
    <cfRule type="cellIs" dxfId="31" priority="16" operator="equal">
      <formula>"❌ Zero"</formula>
    </cfRule>
  </conditionalFormatting>
  <conditionalFormatting sqref="M30">
    <cfRule type="cellIs" dxfId="30" priority="17" operator="equal">
      <formula>"✅ Done"</formula>
    </cfRule>
  </conditionalFormatting>
  <conditionalFormatting sqref="M30">
    <cfRule type="cellIs" dxfId="29" priority="18" operator="equal">
      <formula>"⬜ Pending"</formula>
    </cfRule>
  </conditionalFormatting>
  <conditionalFormatting sqref="M30">
    <cfRule type="cellIs" dxfId="28" priority="19" operator="equal">
      <formula>"❌ Zero"</formula>
    </cfRule>
  </conditionalFormatting>
  <conditionalFormatting sqref="M31">
    <cfRule type="cellIs" dxfId="27" priority="20" operator="equal">
      <formula>"✅ Done"</formula>
    </cfRule>
  </conditionalFormatting>
  <conditionalFormatting sqref="M31">
    <cfRule type="cellIs" dxfId="26" priority="21" operator="equal">
      <formula>"⬜ Pending"</formula>
    </cfRule>
  </conditionalFormatting>
  <conditionalFormatting sqref="M31">
    <cfRule type="cellIs" dxfId="25" priority="22" operator="equal">
      <formula>"❌ Zero"</formula>
    </cfRule>
  </conditionalFormatting>
  <conditionalFormatting sqref="Q30:Z30">
    <cfRule type="cellIs" dxfId="24" priority="23" operator="equal">
      <formula>"✅ Done"</formula>
    </cfRule>
  </conditionalFormatting>
  <conditionalFormatting sqref="Q30:Z30">
    <cfRule type="cellIs" dxfId="23" priority="24" operator="equal">
      <formula>"⬜ Pending"</formula>
    </cfRule>
  </conditionalFormatting>
  <conditionalFormatting sqref="Q30:Z30">
    <cfRule type="cellIs" dxfId="22" priority="25" operator="equal">
      <formula>"❌ Zero"</formula>
    </cfRule>
  </conditionalFormatting>
  <conditionalFormatting sqref="Q31:Z31">
    <cfRule type="cellIs" dxfId="21" priority="26" operator="equal">
      <formula>"✅ Done"</formula>
    </cfRule>
  </conditionalFormatting>
  <conditionalFormatting sqref="Q31:Z31">
    <cfRule type="cellIs" dxfId="20" priority="27" operator="equal">
      <formula>"⬜ Pending"</formula>
    </cfRule>
  </conditionalFormatting>
  <conditionalFormatting sqref="Q31:Z31">
    <cfRule type="cellIs" dxfId="19" priority="28" operator="equal">
      <formula>"❌ Zero"</formula>
    </cfRule>
  </conditionalFormatting>
  <conditionalFormatting sqref="J26:M26">
    <cfRule type="cellIs" dxfId="18" priority="29" operator="equal">
      <formula>"✅ GRADUATE"</formula>
    </cfRule>
  </conditionalFormatting>
  <conditionalFormatting sqref="J26:M26">
    <cfRule type="cellIs" dxfId="17" priority="30" operator="equal">
      <formula>"❌ NOT YET"</formula>
    </cfRule>
  </conditionalFormatting>
  <conditionalFormatting sqref="J26:M26">
    <cfRule type="cellIs" dxfId="16" priority="31" operator="equal">
      <formula>"⏳ PENDING"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235A"/>
  </sheetPr>
  <dimension ref="A1:AB993"/>
  <sheetViews>
    <sheetView showGridLines="0" workbookViewId="0">
      <pane ySplit="4" topLeftCell="A5" activePane="bottomLeft" state="frozen"/>
      <selection pane="bottomLeft" activeCell="A58" sqref="A58:XFD65"/>
    </sheetView>
  </sheetViews>
  <sheetFormatPr defaultColWidth="14.453125" defaultRowHeight="15" customHeight="1"/>
  <cols>
    <col min="1" max="1" width="22" customWidth="1"/>
    <col min="2" max="2" width="14" customWidth="1"/>
    <col min="3" max="3" width="18.7265625" customWidth="1"/>
    <col min="4" max="4" width="20.08984375" customWidth="1"/>
    <col min="5" max="5" width="18.26953125" customWidth="1"/>
    <col min="6" max="6" width="13.26953125" customWidth="1"/>
    <col min="7" max="7" width="31.81640625" customWidth="1"/>
    <col min="8" max="8" width="48.81640625" customWidth="1"/>
    <col min="9" max="9" width="10.81640625" customWidth="1"/>
    <col min="10" max="10" width="32.54296875" customWidth="1"/>
    <col min="11" max="11" width="22.7265625" customWidth="1"/>
    <col min="12" max="12" width="10" customWidth="1"/>
    <col min="13" max="13" width="12" customWidth="1"/>
    <col min="14" max="14" width="21.08984375" customWidth="1"/>
    <col min="15" max="15" width="15.26953125" customWidth="1"/>
    <col min="16" max="16" width="12" customWidth="1"/>
    <col min="17" max="17" width="52.7265625" customWidth="1"/>
    <col min="18" max="18" width="33.81640625" customWidth="1"/>
    <col min="19" max="20" width="12" customWidth="1"/>
    <col min="21" max="22" width="22" customWidth="1"/>
    <col min="23" max="23" width="18.7265625" customWidth="1"/>
    <col min="24" max="24" width="14" customWidth="1"/>
    <col min="25" max="25" width="44.81640625" customWidth="1"/>
    <col min="26" max="26" width="33.81640625" customWidth="1"/>
    <col min="27" max="27" width="18" customWidth="1"/>
    <col min="28" max="28" width="20" customWidth="1"/>
  </cols>
  <sheetData>
    <row r="1" spans="1:28" ht="30" customHeight="1">
      <c r="A1" s="215" t="s">
        <v>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50"/>
    </row>
    <row r="2" spans="1:28" ht="15.75" customHeight="1">
      <c r="A2" s="216" t="s">
        <v>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50"/>
    </row>
    <row r="3" spans="1:28" ht="15.75" customHeight="1">
      <c r="A3" s="217" t="s">
        <v>19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146"/>
      <c r="V3" s="219"/>
      <c r="W3" s="218"/>
      <c r="X3" s="218"/>
      <c r="Y3" s="218"/>
      <c r="Z3" s="218"/>
      <c r="AA3" s="218"/>
      <c r="AB3" s="146"/>
    </row>
    <row r="4" spans="1:28" ht="36" customHeight="1">
      <c r="A4" s="16" t="s">
        <v>41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49</v>
      </c>
      <c r="H4" s="16" t="s">
        <v>50</v>
      </c>
      <c r="I4" s="16" t="s">
        <v>51</v>
      </c>
      <c r="J4" s="16" t="s">
        <v>52</v>
      </c>
      <c r="K4" s="16" t="s">
        <v>53</v>
      </c>
      <c r="L4" s="16" t="s">
        <v>54</v>
      </c>
      <c r="M4" s="16" t="s">
        <v>55</v>
      </c>
      <c r="N4" s="16" t="s">
        <v>56</v>
      </c>
      <c r="O4" s="16" t="s">
        <v>58</v>
      </c>
      <c r="P4" s="16" t="s">
        <v>59</v>
      </c>
      <c r="Q4" s="16" t="s">
        <v>60</v>
      </c>
      <c r="R4" s="16" t="s">
        <v>61</v>
      </c>
      <c r="S4" s="16" t="s">
        <v>62</v>
      </c>
      <c r="T4" s="16" t="s">
        <v>63</v>
      </c>
      <c r="U4" s="16" t="s">
        <v>64</v>
      </c>
      <c r="V4" s="22" t="s">
        <v>65</v>
      </c>
      <c r="W4" s="22" t="s">
        <v>66</v>
      </c>
      <c r="X4" s="22" t="s">
        <v>67</v>
      </c>
      <c r="Y4" s="22" t="s">
        <v>68</v>
      </c>
      <c r="Z4" s="22" t="s">
        <v>69</v>
      </c>
      <c r="AA4" s="22" t="s">
        <v>70</v>
      </c>
      <c r="AB4" s="22" t="s">
        <v>15</v>
      </c>
    </row>
    <row r="5" spans="1:28" ht="15.75" customHeight="1">
      <c r="A5" s="23" t="s">
        <v>71</v>
      </c>
      <c r="B5" s="23"/>
      <c r="C5" s="23"/>
      <c r="D5" s="23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5" t="s">
        <v>35</v>
      </c>
      <c r="W5" s="25" t="s">
        <v>37</v>
      </c>
      <c r="X5" s="25" t="s">
        <v>20</v>
      </c>
      <c r="Y5" s="26"/>
      <c r="Z5" s="26"/>
      <c r="AA5" s="26"/>
      <c r="AB5" s="25"/>
    </row>
    <row r="6" spans="1:28" ht="15.75" customHeight="1">
      <c r="A6" s="27" t="s">
        <v>75</v>
      </c>
      <c r="B6" s="27"/>
      <c r="C6" s="27"/>
      <c r="D6" s="27"/>
      <c r="E6" s="28"/>
      <c r="F6" s="28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9" t="s">
        <v>35</v>
      </c>
      <c r="W6" s="25" t="s">
        <v>37</v>
      </c>
      <c r="X6" s="29" t="s">
        <v>20</v>
      </c>
      <c r="Y6" s="26"/>
      <c r="Z6" s="26"/>
      <c r="AA6" s="26"/>
      <c r="AB6" s="29"/>
    </row>
    <row r="7" spans="1:28" ht="15.75" customHeight="1">
      <c r="A7" s="23" t="s">
        <v>81</v>
      </c>
      <c r="B7" s="23"/>
      <c r="C7" s="23"/>
      <c r="D7" s="23"/>
      <c r="E7" s="24"/>
      <c r="F7" s="24"/>
      <c r="G7" s="23"/>
      <c r="H7" s="23"/>
      <c r="I7" s="23"/>
      <c r="J7" s="23"/>
      <c r="K7" s="23"/>
      <c r="L7" s="23"/>
      <c r="M7" s="23"/>
      <c r="N7" s="23"/>
      <c r="O7" s="23"/>
      <c r="P7" s="23"/>
      <c r="Q7" s="31"/>
      <c r="R7" s="23"/>
      <c r="S7" s="23"/>
      <c r="T7" s="23"/>
      <c r="U7" s="23"/>
      <c r="V7" s="25" t="s">
        <v>35</v>
      </c>
      <c r="W7" s="25" t="s">
        <v>37</v>
      </c>
      <c r="X7" s="25" t="s">
        <v>20</v>
      </c>
      <c r="Y7" s="26"/>
      <c r="Z7" s="26"/>
      <c r="AA7" s="26"/>
      <c r="AB7" s="25"/>
    </row>
    <row r="8" spans="1:28" ht="15.75" customHeight="1">
      <c r="A8" s="27" t="s">
        <v>84</v>
      </c>
      <c r="B8" s="27"/>
      <c r="C8" s="27"/>
      <c r="D8" s="27"/>
      <c r="E8" s="28"/>
      <c r="F8" s="28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9" t="s">
        <v>35</v>
      </c>
      <c r="W8" s="25" t="s">
        <v>37</v>
      </c>
      <c r="X8" s="29" t="s">
        <v>20</v>
      </c>
      <c r="Y8" s="26"/>
      <c r="Z8" s="26"/>
      <c r="AA8" s="26"/>
      <c r="AB8" s="29"/>
    </row>
    <row r="9" spans="1:28" ht="15.75" customHeight="1">
      <c r="A9" s="23" t="s">
        <v>86</v>
      </c>
      <c r="B9" s="23"/>
      <c r="C9" s="23"/>
      <c r="D9" s="23"/>
      <c r="E9" s="24"/>
      <c r="F9" s="28"/>
      <c r="G9" s="23"/>
      <c r="H9" s="23"/>
      <c r="I9" s="23"/>
      <c r="J9" s="23"/>
      <c r="K9" s="23"/>
      <c r="L9" s="23"/>
      <c r="M9" s="23"/>
      <c r="N9" s="23"/>
      <c r="O9" s="23"/>
      <c r="P9" s="23"/>
      <c r="Q9" s="31"/>
      <c r="R9" s="23"/>
      <c r="S9" s="23"/>
      <c r="T9" s="23"/>
      <c r="U9" s="23"/>
      <c r="V9" s="25" t="s">
        <v>35</v>
      </c>
      <c r="W9" s="25" t="s">
        <v>37</v>
      </c>
      <c r="X9" s="25" t="s">
        <v>20</v>
      </c>
      <c r="Y9" s="26"/>
      <c r="Z9" s="26"/>
      <c r="AA9" s="26"/>
      <c r="AB9" s="25"/>
    </row>
    <row r="10" spans="1:28" ht="15.75" customHeight="1">
      <c r="A10" s="27" t="s">
        <v>87</v>
      </c>
      <c r="B10" s="27"/>
      <c r="C10" s="27"/>
      <c r="D10" s="27"/>
      <c r="E10" s="28"/>
      <c r="F10" s="28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35"/>
      <c r="R10" s="27"/>
      <c r="S10" s="27"/>
      <c r="T10" s="27"/>
      <c r="U10" s="27"/>
      <c r="V10" s="29" t="s">
        <v>35</v>
      </c>
      <c r="W10" s="25" t="s">
        <v>37</v>
      </c>
      <c r="X10" s="29" t="s">
        <v>20</v>
      </c>
      <c r="Y10" s="26"/>
      <c r="Z10" s="26"/>
      <c r="AA10" s="26"/>
      <c r="AB10" s="29"/>
    </row>
    <row r="11" spans="1:28" ht="15.75" customHeight="1">
      <c r="A11" s="37" t="s">
        <v>88</v>
      </c>
      <c r="B11" s="38"/>
      <c r="C11" s="39"/>
      <c r="D11" s="41"/>
      <c r="E11" s="42"/>
      <c r="F11" s="43"/>
      <c r="G11" s="39"/>
      <c r="H11" s="4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5"/>
      <c r="V11" s="46" t="s">
        <v>35</v>
      </c>
      <c r="W11" s="25" t="s">
        <v>37</v>
      </c>
      <c r="X11" s="25" t="s">
        <v>20</v>
      </c>
      <c r="Y11" s="26"/>
      <c r="Z11" s="26"/>
      <c r="AA11" s="26"/>
      <c r="AB11" s="25"/>
    </row>
    <row r="12" spans="1:28" ht="15.75" customHeight="1">
      <c r="A12" s="27" t="s">
        <v>89</v>
      </c>
      <c r="B12" s="27"/>
      <c r="C12" s="27"/>
      <c r="D12" s="27"/>
      <c r="E12" s="28"/>
      <c r="F12" s="28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35"/>
      <c r="R12" s="27"/>
      <c r="S12" s="27"/>
      <c r="T12" s="27"/>
      <c r="U12" s="27"/>
      <c r="V12" s="29" t="s">
        <v>35</v>
      </c>
      <c r="W12" s="25" t="s">
        <v>37</v>
      </c>
      <c r="X12" s="29" t="s">
        <v>20</v>
      </c>
      <c r="Y12" s="26"/>
      <c r="Z12" s="26"/>
      <c r="AA12" s="26"/>
      <c r="AB12" s="29"/>
    </row>
    <row r="13" spans="1:28" ht="15.75" customHeight="1">
      <c r="A13" s="23" t="s">
        <v>94</v>
      </c>
      <c r="B13" s="23"/>
      <c r="C13" s="23"/>
      <c r="D13" s="23"/>
      <c r="E13" s="24"/>
      <c r="F13" s="2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5" t="s">
        <v>35</v>
      </c>
      <c r="W13" s="25" t="s">
        <v>37</v>
      </c>
      <c r="X13" s="25" t="s">
        <v>20</v>
      </c>
      <c r="Y13" s="26"/>
      <c r="Z13" s="26"/>
      <c r="AA13" s="26"/>
      <c r="AB13" s="25"/>
    </row>
    <row r="14" spans="1:28" ht="15.75" customHeight="1">
      <c r="A14" s="27" t="s">
        <v>97</v>
      </c>
      <c r="B14" s="27"/>
      <c r="C14" s="27"/>
      <c r="D14" s="27"/>
      <c r="E14" s="28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35"/>
      <c r="R14" s="27"/>
      <c r="S14" s="27"/>
      <c r="T14" s="27"/>
      <c r="U14" s="27"/>
      <c r="V14" s="29" t="s">
        <v>35</v>
      </c>
      <c r="W14" s="29" t="s">
        <v>37</v>
      </c>
      <c r="X14" s="29" t="s">
        <v>20</v>
      </c>
      <c r="Y14" s="26"/>
      <c r="Z14" s="26"/>
      <c r="AA14" s="26"/>
      <c r="AB14" s="29"/>
    </row>
    <row r="15" spans="1:28" ht="15.75" customHeight="1">
      <c r="A15" s="23" t="s">
        <v>111</v>
      </c>
      <c r="B15" s="23"/>
      <c r="C15" s="23"/>
      <c r="D15" s="23"/>
      <c r="E15" s="24"/>
      <c r="F15" s="24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5" t="s">
        <v>35</v>
      </c>
      <c r="W15" s="25" t="s">
        <v>37</v>
      </c>
      <c r="X15" s="25" t="s">
        <v>20</v>
      </c>
      <c r="Y15" s="26"/>
      <c r="Z15" s="26"/>
      <c r="AA15" s="26"/>
      <c r="AB15" s="25"/>
    </row>
    <row r="16" spans="1:28" ht="15.75" customHeight="1">
      <c r="A16" s="27" t="s">
        <v>117</v>
      </c>
      <c r="B16" s="27"/>
      <c r="C16" s="27"/>
      <c r="D16" s="27"/>
      <c r="E16" s="28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9" t="s">
        <v>35</v>
      </c>
      <c r="W16" s="29" t="s">
        <v>37</v>
      </c>
      <c r="X16" s="29" t="s">
        <v>20</v>
      </c>
      <c r="Y16" s="26"/>
      <c r="Z16" s="26"/>
      <c r="AA16" s="26"/>
      <c r="AB16" s="29"/>
    </row>
    <row r="17" spans="1:28" ht="15.75" customHeight="1">
      <c r="A17" s="23" t="s">
        <v>124</v>
      </c>
      <c r="B17" s="23"/>
      <c r="C17" s="23"/>
      <c r="D17" s="23"/>
      <c r="E17" s="24"/>
      <c r="F17" s="24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9" t="s">
        <v>35</v>
      </c>
      <c r="W17" s="29" t="s">
        <v>37</v>
      </c>
      <c r="X17" s="29" t="s">
        <v>20</v>
      </c>
      <c r="Y17" s="26"/>
      <c r="Z17" s="26"/>
      <c r="AA17" s="26"/>
      <c r="AB17" s="62"/>
    </row>
    <row r="18" spans="1:28" ht="15.75" customHeight="1">
      <c r="A18" s="27" t="s">
        <v>132</v>
      </c>
      <c r="B18" s="27"/>
      <c r="C18" s="27"/>
      <c r="D18" s="27"/>
      <c r="E18" s="28"/>
      <c r="F18" s="28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9" t="s">
        <v>35</v>
      </c>
      <c r="W18" s="29" t="s">
        <v>37</v>
      </c>
      <c r="X18" s="29" t="s">
        <v>20</v>
      </c>
      <c r="Y18" s="26"/>
      <c r="Z18" s="26"/>
      <c r="AA18" s="26"/>
      <c r="AB18" s="68"/>
    </row>
    <row r="19" spans="1:28" ht="15.75" customHeight="1">
      <c r="A19" s="23" t="s">
        <v>143</v>
      </c>
      <c r="B19" s="23"/>
      <c r="C19" s="23"/>
      <c r="D19" s="23"/>
      <c r="E19" s="24"/>
      <c r="F19" s="24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9" t="s">
        <v>35</v>
      </c>
      <c r="W19" s="29" t="s">
        <v>37</v>
      </c>
      <c r="X19" s="29" t="s">
        <v>20</v>
      </c>
      <c r="Y19" s="26"/>
      <c r="Z19" s="26"/>
      <c r="AA19" s="26"/>
      <c r="AB19" s="62"/>
    </row>
    <row r="20" spans="1:28" ht="15.75" customHeight="1">
      <c r="A20" s="27" t="s">
        <v>148</v>
      </c>
      <c r="B20" s="27"/>
      <c r="C20" s="27"/>
      <c r="D20" s="27"/>
      <c r="E20" s="28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 t="s">
        <v>35</v>
      </c>
      <c r="W20" s="29" t="s">
        <v>37</v>
      </c>
      <c r="X20" s="29" t="s">
        <v>20</v>
      </c>
      <c r="Y20" s="26"/>
      <c r="Z20" s="26"/>
      <c r="AA20" s="26"/>
      <c r="AB20" s="68"/>
    </row>
    <row r="21" spans="1:28" ht="15.75" customHeight="1">
      <c r="A21" s="23" t="s">
        <v>150</v>
      </c>
      <c r="B21" s="23"/>
      <c r="C21" s="23"/>
      <c r="D21" s="72"/>
      <c r="E21" s="24"/>
      <c r="F21" s="24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9" t="s">
        <v>35</v>
      </c>
      <c r="W21" s="29" t="s">
        <v>37</v>
      </c>
      <c r="X21" s="29" t="s">
        <v>20</v>
      </c>
      <c r="Y21" s="26"/>
      <c r="Z21" s="26"/>
      <c r="AA21" s="26"/>
      <c r="AB21" s="62"/>
    </row>
    <row r="22" spans="1:28" ht="15.75" customHeight="1">
      <c r="A22" s="27" t="s">
        <v>153</v>
      </c>
      <c r="B22" s="27"/>
      <c r="C22" s="27"/>
      <c r="D22" s="27"/>
      <c r="E22" s="28"/>
      <c r="F22" s="28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9" t="s">
        <v>35</v>
      </c>
      <c r="W22" s="29" t="s">
        <v>37</v>
      </c>
      <c r="X22" s="29" t="s">
        <v>20</v>
      </c>
      <c r="Y22" s="26"/>
      <c r="Z22" s="26"/>
      <c r="AA22" s="26"/>
      <c r="AB22" s="68"/>
    </row>
    <row r="23" spans="1:28" ht="15.75" customHeight="1">
      <c r="A23" s="23" t="s">
        <v>154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9" t="s">
        <v>35</v>
      </c>
      <c r="W23" s="29" t="s">
        <v>37</v>
      </c>
      <c r="X23" s="29" t="s">
        <v>20</v>
      </c>
      <c r="Y23" s="26"/>
      <c r="Z23" s="26"/>
      <c r="AA23" s="26"/>
      <c r="AB23" s="62"/>
    </row>
    <row r="24" spans="1:28" ht="15.75" customHeight="1">
      <c r="A24" s="27" t="s">
        <v>155</v>
      </c>
      <c r="B24" s="27"/>
      <c r="C24" s="27"/>
      <c r="D24" s="27"/>
      <c r="E24" s="28"/>
      <c r="F24" s="28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9" t="s">
        <v>35</v>
      </c>
      <c r="W24" s="29" t="s">
        <v>37</v>
      </c>
      <c r="X24" s="29" t="s">
        <v>20</v>
      </c>
      <c r="Y24" s="26"/>
      <c r="Z24" s="26"/>
      <c r="AA24" s="26"/>
      <c r="AB24" s="68"/>
    </row>
    <row r="25" spans="1:28" ht="15.75" customHeight="1">
      <c r="A25" s="23" t="s">
        <v>156</v>
      </c>
      <c r="B25" s="23"/>
      <c r="C25" s="23"/>
      <c r="D25" s="23"/>
      <c r="E25" s="24"/>
      <c r="F25" s="24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31"/>
      <c r="R25" s="23"/>
      <c r="S25" s="23"/>
      <c r="T25" s="23"/>
      <c r="U25" s="23"/>
      <c r="V25" s="29" t="s">
        <v>35</v>
      </c>
      <c r="W25" s="29" t="s">
        <v>37</v>
      </c>
      <c r="X25" s="29" t="s">
        <v>20</v>
      </c>
      <c r="Y25" s="26"/>
      <c r="Z25" s="26"/>
      <c r="AA25" s="26"/>
      <c r="AB25" s="62"/>
    </row>
    <row r="26" spans="1:28" ht="15.75" customHeight="1">
      <c r="A26" s="27" t="s">
        <v>157</v>
      </c>
      <c r="B26" s="27"/>
      <c r="C26" s="27"/>
      <c r="D26" s="27"/>
      <c r="E26" s="28"/>
      <c r="F26" s="28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 t="s">
        <v>35</v>
      </c>
      <c r="W26" s="29" t="s">
        <v>37</v>
      </c>
      <c r="X26" s="29" t="s">
        <v>20</v>
      </c>
      <c r="Y26" s="26"/>
      <c r="Z26" s="26"/>
      <c r="AA26" s="26"/>
      <c r="AB26" s="68"/>
    </row>
    <row r="27" spans="1:28" ht="15.75" customHeight="1">
      <c r="A27" s="23" t="s">
        <v>158</v>
      </c>
      <c r="B27" s="23"/>
      <c r="C27" s="23"/>
      <c r="D27" s="23"/>
      <c r="E27" s="24"/>
      <c r="F27" s="2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31"/>
      <c r="R27" s="23"/>
      <c r="S27" s="23"/>
      <c r="T27" s="23"/>
      <c r="U27" s="23"/>
      <c r="V27" s="29" t="s">
        <v>35</v>
      </c>
      <c r="W27" s="29" t="s">
        <v>37</v>
      </c>
      <c r="X27" s="29" t="s">
        <v>20</v>
      </c>
      <c r="Y27" s="26"/>
      <c r="Z27" s="26"/>
      <c r="AA27" s="26"/>
      <c r="AB27" s="62"/>
    </row>
    <row r="28" spans="1:28" ht="15.75" customHeight="1">
      <c r="A28" s="27" t="s">
        <v>159</v>
      </c>
      <c r="B28" s="27"/>
      <c r="C28" s="27"/>
      <c r="D28" s="27"/>
      <c r="E28" s="28"/>
      <c r="F28" s="28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9" t="s">
        <v>35</v>
      </c>
      <c r="W28" s="29" t="s">
        <v>37</v>
      </c>
      <c r="X28" s="29" t="s">
        <v>20</v>
      </c>
      <c r="Y28" s="26"/>
      <c r="Z28" s="26"/>
      <c r="AA28" s="26"/>
      <c r="AB28" s="68"/>
    </row>
    <row r="29" spans="1:28" ht="15.75" customHeight="1">
      <c r="A29" s="23" t="s">
        <v>160</v>
      </c>
      <c r="B29" s="23"/>
      <c r="C29" s="23"/>
      <c r="D29" s="23"/>
      <c r="E29" s="24"/>
      <c r="F29" s="2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9" t="s">
        <v>35</v>
      </c>
      <c r="W29" s="29" t="s">
        <v>37</v>
      </c>
      <c r="X29" s="29" t="s">
        <v>20</v>
      </c>
      <c r="Y29" s="26"/>
      <c r="Z29" s="26"/>
      <c r="AA29" s="26"/>
      <c r="AB29" s="62"/>
    </row>
    <row r="30" spans="1:28" ht="15.75" customHeight="1">
      <c r="A30" s="27" t="s">
        <v>162</v>
      </c>
      <c r="B30" s="27"/>
      <c r="C30" s="27"/>
      <c r="D30" s="77"/>
      <c r="E30" s="28"/>
      <c r="F30" s="28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9" t="s">
        <v>35</v>
      </c>
      <c r="W30" s="29" t="s">
        <v>37</v>
      </c>
      <c r="X30" s="29" t="s">
        <v>20</v>
      </c>
      <c r="Y30" s="26"/>
      <c r="Z30" s="26"/>
      <c r="AA30" s="26"/>
      <c r="AB30" s="68"/>
    </row>
    <row r="31" spans="1:28" ht="15.75" customHeight="1">
      <c r="A31" s="23" t="s">
        <v>166</v>
      </c>
      <c r="B31" s="23"/>
      <c r="C31" s="23"/>
      <c r="D31" s="23"/>
      <c r="E31" s="24"/>
      <c r="F31" s="2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9" t="s">
        <v>35</v>
      </c>
      <c r="W31" s="29" t="s">
        <v>37</v>
      </c>
      <c r="X31" s="29" t="s">
        <v>20</v>
      </c>
      <c r="Y31" s="26"/>
      <c r="Z31" s="26"/>
      <c r="AA31" s="26"/>
      <c r="AB31" s="62"/>
    </row>
    <row r="32" spans="1:28" ht="15.75" customHeight="1">
      <c r="A32" s="27" t="s">
        <v>173</v>
      </c>
      <c r="B32" s="27"/>
      <c r="C32" s="27"/>
      <c r="D32" s="27"/>
      <c r="E32" s="28"/>
      <c r="F32" s="28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9" t="s">
        <v>35</v>
      </c>
      <c r="W32" s="29" t="s">
        <v>37</v>
      </c>
      <c r="X32" s="29" t="s">
        <v>20</v>
      </c>
      <c r="Y32" s="26"/>
      <c r="Z32" s="26"/>
      <c r="AA32" s="26"/>
      <c r="AB32" s="68"/>
    </row>
    <row r="33" spans="1:28" ht="15.75" customHeight="1">
      <c r="A33" s="23" t="s">
        <v>175</v>
      </c>
      <c r="B33" s="23"/>
      <c r="C33" s="23"/>
      <c r="D33" s="23"/>
      <c r="E33" s="24"/>
      <c r="F33" s="2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9" t="s">
        <v>35</v>
      </c>
      <c r="W33" s="29" t="s">
        <v>37</v>
      </c>
      <c r="X33" s="29" t="s">
        <v>20</v>
      </c>
      <c r="Y33" s="26"/>
      <c r="Z33" s="26"/>
      <c r="AA33" s="26"/>
      <c r="AB33" s="62"/>
    </row>
    <row r="34" spans="1:28" ht="15.75" customHeight="1">
      <c r="A34" s="27" t="s">
        <v>178</v>
      </c>
      <c r="B34" s="27"/>
      <c r="C34" s="27"/>
      <c r="D34" s="27"/>
      <c r="E34" s="28"/>
      <c r="F34" s="28"/>
      <c r="G34" s="27"/>
      <c r="H34" s="27"/>
      <c r="I34" s="27"/>
      <c r="J34" s="27"/>
      <c r="K34" s="27"/>
      <c r="L34" s="27"/>
      <c r="M34" s="27"/>
      <c r="N34" s="27"/>
      <c r="O34" s="28"/>
      <c r="P34" s="27"/>
      <c r="Q34" s="35"/>
      <c r="R34" s="27"/>
      <c r="S34" s="27"/>
      <c r="T34" s="27"/>
      <c r="U34" s="27"/>
      <c r="V34" s="29" t="s">
        <v>35</v>
      </c>
      <c r="W34" s="29" t="s">
        <v>37</v>
      </c>
      <c r="X34" s="29" t="s">
        <v>20</v>
      </c>
      <c r="Y34" s="26"/>
      <c r="Z34" s="26"/>
      <c r="AA34" s="26"/>
      <c r="AB34" s="68"/>
    </row>
    <row r="35" spans="1:28" ht="15.75" customHeight="1">
      <c r="A35" s="23" t="s">
        <v>179</v>
      </c>
      <c r="B35" s="23"/>
      <c r="C35" s="23"/>
      <c r="D35" s="72"/>
      <c r="E35" s="24"/>
      <c r="F35" s="24"/>
      <c r="G35" s="23"/>
      <c r="H35" s="23"/>
      <c r="I35" s="23"/>
      <c r="J35" s="23"/>
      <c r="K35" s="23"/>
      <c r="L35" s="23"/>
      <c r="M35" s="23"/>
      <c r="N35" s="23"/>
      <c r="O35" s="24"/>
      <c r="P35" s="23"/>
      <c r="Q35" s="23"/>
      <c r="R35" s="23"/>
      <c r="S35" s="23"/>
      <c r="T35" s="23"/>
      <c r="U35" s="23"/>
      <c r="V35" s="29" t="s">
        <v>35</v>
      </c>
      <c r="W35" s="29" t="s">
        <v>37</v>
      </c>
      <c r="X35" s="29" t="s">
        <v>20</v>
      </c>
      <c r="Y35" s="26"/>
      <c r="Z35" s="26"/>
      <c r="AA35" s="26"/>
      <c r="AB35" s="62"/>
    </row>
    <row r="36" spans="1:28" ht="15.75" customHeight="1">
      <c r="A36" s="27" t="s">
        <v>182</v>
      </c>
      <c r="B36" s="27"/>
      <c r="C36" s="27"/>
      <c r="D36" s="27"/>
      <c r="E36" s="28"/>
      <c r="F36" s="28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9" t="s">
        <v>35</v>
      </c>
      <c r="W36" s="29" t="s">
        <v>37</v>
      </c>
      <c r="X36" s="29" t="s">
        <v>20</v>
      </c>
      <c r="Y36" s="26"/>
      <c r="Z36" s="26"/>
      <c r="AA36" s="26"/>
      <c r="AB36" s="68"/>
    </row>
    <row r="37" spans="1:28" ht="15.75" customHeight="1">
      <c r="A37" s="23" t="s">
        <v>185</v>
      </c>
      <c r="B37" s="23"/>
      <c r="C37" s="23"/>
      <c r="D37" s="23"/>
      <c r="E37" s="24"/>
      <c r="F37" s="2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9" t="s">
        <v>35</v>
      </c>
      <c r="W37" s="29" t="s">
        <v>37</v>
      </c>
      <c r="X37" s="29" t="s">
        <v>20</v>
      </c>
      <c r="Y37" s="26"/>
      <c r="Z37" s="26"/>
      <c r="AA37" s="26"/>
      <c r="AB37" s="62"/>
    </row>
    <row r="38" spans="1:28" ht="15.75" customHeight="1">
      <c r="A38" s="27" t="s">
        <v>188</v>
      </c>
      <c r="B38" s="27"/>
      <c r="C38" s="27"/>
      <c r="D38" s="27"/>
      <c r="E38" s="28"/>
      <c r="F38" s="28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9" t="s">
        <v>35</v>
      </c>
      <c r="W38" s="29" t="s">
        <v>37</v>
      </c>
      <c r="X38" s="29" t="s">
        <v>20</v>
      </c>
      <c r="Y38" s="26"/>
      <c r="Z38" s="26"/>
      <c r="AA38" s="26"/>
      <c r="AB38" s="68"/>
    </row>
    <row r="39" spans="1:28" ht="15.75" customHeight="1">
      <c r="A39" s="23" t="s">
        <v>189</v>
      </c>
      <c r="B39" s="23"/>
      <c r="C39" s="23"/>
      <c r="D39" s="23"/>
      <c r="E39" s="23"/>
      <c r="F39" s="24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31"/>
      <c r="R39" s="23"/>
      <c r="S39" s="23"/>
      <c r="T39" s="23"/>
      <c r="U39" s="23"/>
      <c r="V39" s="29" t="s">
        <v>35</v>
      </c>
      <c r="W39" s="29" t="s">
        <v>37</v>
      </c>
      <c r="X39" s="29" t="s">
        <v>20</v>
      </c>
      <c r="Y39" s="26"/>
      <c r="Z39" s="26"/>
      <c r="AA39" s="26"/>
      <c r="AB39" s="62"/>
    </row>
    <row r="40" spans="1:28" ht="15.75" customHeight="1">
      <c r="A40" s="27" t="s">
        <v>190</v>
      </c>
      <c r="B40" s="27"/>
      <c r="C40" s="27"/>
      <c r="D40" s="27"/>
      <c r="E40" s="28"/>
      <c r="F40" s="28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9" t="s">
        <v>35</v>
      </c>
      <c r="W40" s="29" t="s">
        <v>37</v>
      </c>
      <c r="X40" s="29" t="s">
        <v>20</v>
      </c>
      <c r="Y40" s="26"/>
      <c r="Z40" s="26"/>
      <c r="AA40" s="26"/>
      <c r="AB40" s="68"/>
    </row>
    <row r="41" spans="1:28" ht="15.75" customHeight="1">
      <c r="A41" s="23" t="s">
        <v>191</v>
      </c>
      <c r="B41" s="23"/>
      <c r="C41" s="23"/>
      <c r="D41" s="23"/>
      <c r="E41" s="24"/>
      <c r="F41" s="2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9" t="s">
        <v>35</v>
      </c>
      <c r="W41" s="29" t="s">
        <v>37</v>
      </c>
      <c r="X41" s="29" t="s">
        <v>20</v>
      </c>
      <c r="Y41" s="26"/>
      <c r="Z41" s="26"/>
      <c r="AA41" s="26"/>
      <c r="AB41" s="62"/>
    </row>
    <row r="42" spans="1:28" ht="15.75" customHeight="1">
      <c r="A42" s="27" t="s">
        <v>192</v>
      </c>
      <c r="B42" s="27"/>
      <c r="C42" s="27"/>
      <c r="D42" s="27"/>
      <c r="E42" s="28"/>
      <c r="F42" s="28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35"/>
      <c r="R42" s="27"/>
      <c r="S42" s="27"/>
      <c r="T42" s="27"/>
      <c r="U42" s="27"/>
      <c r="V42" s="29" t="s">
        <v>35</v>
      </c>
      <c r="W42" s="29" t="s">
        <v>37</v>
      </c>
      <c r="X42" s="29" t="s">
        <v>20</v>
      </c>
      <c r="Y42" s="26"/>
      <c r="Z42" s="26"/>
      <c r="AA42" s="26"/>
      <c r="AB42" s="68"/>
    </row>
    <row r="43" spans="1:28" ht="15.75" customHeight="1">
      <c r="A43" s="23" t="s">
        <v>193</v>
      </c>
      <c r="B43" s="23"/>
      <c r="C43" s="23"/>
      <c r="D43" s="23"/>
      <c r="E43" s="24"/>
      <c r="F43" s="2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31"/>
      <c r="R43" s="23"/>
      <c r="S43" s="23"/>
      <c r="T43" s="23"/>
      <c r="U43" s="23"/>
      <c r="V43" s="29" t="s">
        <v>35</v>
      </c>
      <c r="W43" s="29" t="s">
        <v>37</v>
      </c>
      <c r="X43" s="29" t="s">
        <v>20</v>
      </c>
      <c r="Y43" s="26"/>
      <c r="Z43" s="26"/>
      <c r="AA43" s="26"/>
      <c r="AB43" s="62"/>
    </row>
    <row r="44" spans="1:28" ht="15.75" customHeight="1">
      <c r="A44" s="27" t="s">
        <v>196</v>
      </c>
      <c r="B44" s="27"/>
      <c r="C44" s="27"/>
      <c r="D44" s="27"/>
      <c r="E44" s="28"/>
      <c r="F44" s="28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9" t="s">
        <v>35</v>
      </c>
      <c r="W44" s="29" t="s">
        <v>37</v>
      </c>
      <c r="X44" s="29" t="s">
        <v>20</v>
      </c>
      <c r="Y44" s="26"/>
      <c r="Z44" s="26"/>
      <c r="AA44" s="26"/>
      <c r="AB44" s="68"/>
    </row>
    <row r="45" spans="1:28" ht="15.75" customHeight="1">
      <c r="A45" s="23" t="s">
        <v>198</v>
      </c>
      <c r="B45" s="23"/>
      <c r="C45" s="23"/>
      <c r="D45" s="23"/>
      <c r="E45" s="24"/>
      <c r="F45" s="24"/>
      <c r="G45" s="23"/>
      <c r="H45" s="23"/>
      <c r="I45" s="23"/>
      <c r="J45" s="23"/>
      <c r="K45" s="23"/>
      <c r="L45" s="23"/>
      <c r="M45" s="23"/>
      <c r="N45" s="23"/>
      <c r="O45" s="24"/>
      <c r="P45" s="23"/>
      <c r="Q45" s="23"/>
      <c r="R45" s="23"/>
      <c r="S45" s="23"/>
      <c r="T45" s="23"/>
      <c r="U45" s="23"/>
      <c r="V45" s="29" t="s">
        <v>35</v>
      </c>
      <c r="W45" s="29" t="s">
        <v>37</v>
      </c>
      <c r="X45" s="29" t="s">
        <v>20</v>
      </c>
      <c r="Y45" s="26"/>
      <c r="Z45" s="26"/>
      <c r="AA45" s="26"/>
      <c r="AB45" s="62"/>
    </row>
    <row r="46" spans="1:28" ht="15.75" customHeight="1">
      <c r="A46" s="27" t="s">
        <v>201</v>
      </c>
      <c r="B46" s="27"/>
      <c r="C46" s="27"/>
      <c r="D46" s="27"/>
      <c r="E46" s="28"/>
      <c r="F46" s="28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9" t="s">
        <v>35</v>
      </c>
      <c r="W46" s="29" t="s">
        <v>37</v>
      </c>
      <c r="X46" s="29" t="s">
        <v>20</v>
      </c>
      <c r="Y46" s="26"/>
      <c r="Z46" s="26"/>
      <c r="AA46" s="26"/>
      <c r="AB46" s="68"/>
    </row>
    <row r="47" spans="1:28" ht="15.75" customHeight="1">
      <c r="A47" s="23" t="s">
        <v>202</v>
      </c>
      <c r="B47" s="23"/>
      <c r="C47" s="23"/>
      <c r="D47" s="72"/>
      <c r="E47" s="24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31"/>
      <c r="R47" s="23"/>
      <c r="S47" s="23"/>
      <c r="T47" s="23"/>
      <c r="U47" s="23"/>
      <c r="V47" s="29" t="s">
        <v>35</v>
      </c>
      <c r="W47" s="29" t="s">
        <v>37</v>
      </c>
      <c r="X47" s="29" t="s">
        <v>20</v>
      </c>
      <c r="Y47" s="26"/>
      <c r="Z47" s="26"/>
      <c r="AA47" s="26"/>
      <c r="AB47" s="62"/>
    </row>
    <row r="48" spans="1:28" ht="15.75" customHeight="1">
      <c r="A48" s="27" t="s">
        <v>203</v>
      </c>
      <c r="B48" s="27"/>
      <c r="C48" s="27"/>
      <c r="D48" s="27"/>
      <c r="E48" s="28"/>
      <c r="F48" s="28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35"/>
      <c r="R48" s="27"/>
      <c r="S48" s="27"/>
      <c r="T48" s="27"/>
      <c r="U48" s="27"/>
      <c r="V48" s="29" t="s">
        <v>35</v>
      </c>
      <c r="W48" s="29" t="s">
        <v>37</v>
      </c>
      <c r="X48" s="29" t="s">
        <v>20</v>
      </c>
      <c r="Y48" s="26"/>
      <c r="Z48" s="26"/>
      <c r="AA48" s="26"/>
      <c r="AB48" s="68"/>
    </row>
    <row r="49" spans="1:28" ht="15.75" customHeight="1">
      <c r="A49" s="23" t="s">
        <v>204</v>
      </c>
      <c r="B49" s="23"/>
      <c r="C49" s="23"/>
      <c r="D49" s="23"/>
      <c r="E49" s="24"/>
      <c r="F49" s="2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9" t="s">
        <v>35</v>
      </c>
      <c r="W49" s="29" t="s">
        <v>37</v>
      </c>
      <c r="X49" s="29" t="s">
        <v>20</v>
      </c>
      <c r="Y49" s="62"/>
      <c r="Z49" s="62"/>
      <c r="AA49" s="62"/>
      <c r="AB49" s="62"/>
    </row>
    <row r="50" spans="1:28" ht="15.75" customHeight="1">
      <c r="A50" s="27" t="s">
        <v>205</v>
      </c>
      <c r="B50" s="27"/>
      <c r="C50" s="27"/>
      <c r="D50" s="27"/>
      <c r="E50" s="28"/>
      <c r="F50" s="28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35"/>
      <c r="R50" s="27"/>
      <c r="S50" s="27"/>
      <c r="T50" s="27"/>
      <c r="U50" s="27"/>
      <c r="V50" s="29" t="s">
        <v>35</v>
      </c>
      <c r="W50" s="29" t="s">
        <v>37</v>
      </c>
      <c r="X50" s="29" t="s">
        <v>20</v>
      </c>
      <c r="Y50" s="68"/>
      <c r="Z50" s="68"/>
      <c r="AA50" s="68"/>
      <c r="AB50" s="68"/>
    </row>
    <row r="51" spans="1:28" ht="15.75" customHeight="1">
      <c r="A51" s="23" t="s">
        <v>206</v>
      </c>
      <c r="B51" s="23"/>
      <c r="C51" s="23"/>
      <c r="D51" s="23"/>
      <c r="E51" s="24"/>
      <c r="F51" s="2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9" t="s">
        <v>35</v>
      </c>
      <c r="W51" s="29" t="s">
        <v>37</v>
      </c>
      <c r="X51" s="29" t="s">
        <v>20</v>
      </c>
      <c r="Y51" s="62"/>
      <c r="Z51" s="62"/>
      <c r="AA51" s="62"/>
      <c r="AB51" s="62"/>
    </row>
    <row r="52" spans="1:28" ht="15.75" customHeight="1">
      <c r="A52" s="27" t="s">
        <v>207</v>
      </c>
      <c r="B52" s="27"/>
      <c r="C52" s="27"/>
      <c r="D52" s="27"/>
      <c r="E52" s="28"/>
      <c r="F52" s="28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9" t="s">
        <v>35</v>
      </c>
      <c r="W52" s="29" t="s">
        <v>37</v>
      </c>
      <c r="X52" s="29" t="s">
        <v>20</v>
      </c>
      <c r="Y52" s="68"/>
      <c r="Z52" s="68"/>
      <c r="AA52" s="68"/>
      <c r="AB52" s="68"/>
    </row>
    <row r="53" spans="1:28" ht="15.75" customHeight="1">
      <c r="A53" s="23" t="s">
        <v>209</v>
      </c>
      <c r="B53" s="23"/>
      <c r="C53" s="23"/>
      <c r="D53" s="23"/>
      <c r="E53" s="24"/>
      <c r="F53" s="2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9" t="s">
        <v>35</v>
      </c>
      <c r="W53" s="29" t="s">
        <v>37</v>
      </c>
      <c r="X53" s="29" t="s">
        <v>20</v>
      </c>
      <c r="Y53" s="62"/>
      <c r="Z53" s="62"/>
      <c r="AA53" s="62"/>
      <c r="AB53" s="62"/>
    </row>
    <row r="54" spans="1:28" ht="15.75" customHeight="1">
      <c r="A54" s="27" t="s">
        <v>210</v>
      </c>
      <c r="B54" s="27"/>
      <c r="C54" s="27"/>
      <c r="D54" s="27"/>
      <c r="E54" s="28"/>
      <c r="F54" s="28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9" t="s">
        <v>35</v>
      </c>
      <c r="W54" s="29" t="s">
        <v>37</v>
      </c>
      <c r="X54" s="29" t="s">
        <v>20</v>
      </c>
      <c r="Y54" s="68"/>
      <c r="Z54" s="68"/>
      <c r="AA54" s="68"/>
      <c r="AB54" s="68"/>
    </row>
    <row r="55" spans="1:28" ht="15.75" customHeight="1">
      <c r="A55" s="23" t="s">
        <v>211</v>
      </c>
      <c r="B55" s="23"/>
      <c r="C55" s="23"/>
      <c r="D55" s="23"/>
      <c r="E55" s="24"/>
      <c r="F55" s="9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9" t="s">
        <v>35</v>
      </c>
      <c r="W55" s="29" t="s">
        <v>37</v>
      </c>
      <c r="X55" s="29" t="s">
        <v>20</v>
      </c>
      <c r="Y55" s="62"/>
      <c r="Z55" s="62"/>
      <c r="AA55" s="62"/>
      <c r="AB55" s="62"/>
    </row>
    <row r="56" spans="1:28" ht="15.75" customHeight="1">
      <c r="A56" s="27" t="s">
        <v>212</v>
      </c>
      <c r="B56" s="27"/>
      <c r="C56" s="27"/>
      <c r="D56" s="27"/>
      <c r="E56" s="28"/>
      <c r="F56" s="28"/>
      <c r="G56" s="27"/>
      <c r="H56" s="27"/>
      <c r="I56" s="27"/>
      <c r="J56" s="27"/>
      <c r="K56" s="27"/>
      <c r="L56" s="27"/>
      <c r="M56" s="27"/>
      <c r="N56" s="27"/>
      <c r="O56" s="28"/>
      <c r="P56" s="27"/>
      <c r="Q56" s="35"/>
      <c r="R56" s="27"/>
      <c r="S56" s="27"/>
      <c r="T56" s="27"/>
      <c r="U56" s="27"/>
      <c r="V56" s="29" t="s">
        <v>35</v>
      </c>
      <c r="W56" s="29" t="s">
        <v>37</v>
      </c>
      <c r="X56" s="29" t="s">
        <v>20</v>
      </c>
      <c r="Y56" s="68"/>
      <c r="Z56" s="68"/>
      <c r="AA56" s="68"/>
      <c r="AB56" s="68"/>
    </row>
    <row r="57" spans="1:28" ht="15.75" customHeight="1">
      <c r="A57" s="23" t="s">
        <v>213</v>
      </c>
      <c r="B57" s="23"/>
      <c r="C57" s="23"/>
      <c r="D57" s="23"/>
      <c r="E57" s="24"/>
      <c r="F57" s="24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9" t="s">
        <v>35</v>
      </c>
      <c r="W57" s="29" t="s">
        <v>37</v>
      </c>
      <c r="X57" s="29" t="s">
        <v>20</v>
      </c>
      <c r="Y57" s="62"/>
      <c r="Z57" s="62"/>
      <c r="AA57" s="62"/>
      <c r="AB57" s="62"/>
    </row>
    <row r="58" spans="1:28" ht="15.75" customHeight="1">
      <c r="A58" s="38" t="s">
        <v>232</v>
      </c>
      <c r="B58" s="106"/>
      <c r="C58" s="45"/>
      <c r="D58" s="62"/>
      <c r="E58" s="107"/>
      <c r="F58" s="108"/>
      <c r="G58" s="106"/>
      <c r="H58" s="106"/>
      <c r="I58" s="106"/>
      <c r="J58" s="106"/>
      <c r="K58" s="45"/>
      <c r="L58" s="106"/>
      <c r="M58" s="45"/>
      <c r="N58" s="45"/>
      <c r="O58" s="45"/>
      <c r="P58" s="106"/>
      <c r="Q58" s="45"/>
      <c r="R58" s="45"/>
      <c r="S58" s="45"/>
      <c r="T58" s="45"/>
      <c r="U58" s="106"/>
      <c r="V58" s="103" t="s">
        <v>35</v>
      </c>
      <c r="W58" s="104" t="s">
        <v>37</v>
      </c>
      <c r="X58" s="103" t="s">
        <v>20</v>
      </c>
      <c r="Y58" s="62"/>
      <c r="Z58" s="62"/>
      <c r="AA58" s="62"/>
      <c r="AB58" s="62"/>
    </row>
    <row r="59" spans="1:28" ht="15.75" customHeight="1">
      <c r="A59" s="112" t="s">
        <v>233</v>
      </c>
      <c r="B59" s="113"/>
      <c r="C59" s="114"/>
      <c r="D59" s="68"/>
      <c r="E59" s="115"/>
      <c r="F59" s="116"/>
      <c r="G59" s="113"/>
      <c r="H59" s="113"/>
      <c r="I59" s="113"/>
      <c r="J59" s="113"/>
      <c r="K59" s="114"/>
      <c r="L59" s="113"/>
      <c r="M59" s="114"/>
      <c r="N59" s="114"/>
      <c r="O59" s="114"/>
      <c r="P59" s="113"/>
      <c r="Q59" s="114"/>
      <c r="R59" s="114"/>
      <c r="S59" s="114"/>
      <c r="T59" s="114"/>
      <c r="U59" s="113"/>
      <c r="V59" s="117" t="s">
        <v>35</v>
      </c>
      <c r="W59" s="104" t="s">
        <v>37</v>
      </c>
      <c r="X59" s="117" t="s">
        <v>20</v>
      </c>
      <c r="Y59" s="68"/>
      <c r="Z59" s="68"/>
      <c r="AA59" s="68"/>
      <c r="AB59" s="68"/>
    </row>
    <row r="60" spans="1:28" ht="15.75" customHeight="1">
      <c r="A60" s="118" t="s">
        <v>234</v>
      </c>
      <c r="B60" s="118"/>
      <c r="C60" s="119"/>
      <c r="D60" s="62"/>
      <c r="E60" s="120"/>
      <c r="F60" s="121"/>
      <c r="G60" s="118"/>
      <c r="H60" s="118"/>
      <c r="I60" s="118"/>
      <c r="J60" s="118"/>
      <c r="K60" s="119"/>
      <c r="L60" s="118"/>
      <c r="M60" s="119"/>
      <c r="N60" s="119"/>
      <c r="O60" s="119"/>
      <c r="P60" s="118"/>
      <c r="Q60" s="119"/>
      <c r="R60" s="119"/>
      <c r="S60" s="119"/>
      <c r="T60" s="119"/>
      <c r="U60" s="118"/>
      <c r="V60" s="103" t="s">
        <v>35</v>
      </c>
      <c r="W60" s="104" t="s">
        <v>37</v>
      </c>
      <c r="X60" s="103" t="s">
        <v>20</v>
      </c>
      <c r="Y60" s="62"/>
      <c r="Z60" s="62"/>
      <c r="AA60" s="62"/>
      <c r="AB60" s="62"/>
    </row>
    <row r="61" spans="1:28" ht="15.75" customHeight="1">
      <c r="A61" s="113" t="s">
        <v>235</v>
      </c>
      <c r="B61" s="113"/>
      <c r="C61" s="114"/>
      <c r="D61" s="68"/>
      <c r="E61" s="115"/>
      <c r="F61" s="116"/>
      <c r="G61" s="113"/>
      <c r="H61" s="113"/>
      <c r="I61" s="113"/>
      <c r="J61" s="113"/>
      <c r="K61" s="114"/>
      <c r="L61" s="113"/>
      <c r="M61" s="114"/>
      <c r="N61" s="114"/>
      <c r="O61" s="114"/>
      <c r="P61" s="113"/>
      <c r="Q61" s="114"/>
      <c r="R61" s="114"/>
      <c r="S61" s="114"/>
      <c r="T61" s="114"/>
      <c r="U61" s="113"/>
      <c r="V61" s="117" t="s">
        <v>35</v>
      </c>
      <c r="W61" s="104" t="s">
        <v>37</v>
      </c>
      <c r="X61" s="117" t="s">
        <v>20</v>
      </c>
      <c r="Y61" s="68"/>
      <c r="Z61" s="68"/>
      <c r="AA61" s="68"/>
      <c r="AB61" s="68"/>
    </row>
    <row r="62" spans="1:28" ht="15.75" customHeight="1">
      <c r="A62" s="118" t="s">
        <v>236</v>
      </c>
      <c r="B62" s="118"/>
      <c r="C62" s="119"/>
      <c r="D62" s="62"/>
      <c r="E62" s="120"/>
      <c r="F62" s="121"/>
      <c r="G62" s="118"/>
      <c r="H62" s="118"/>
      <c r="I62" s="118"/>
      <c r="J62" s="118"/>
      <c r="K62" s="119"/>
      <c r="L62" s="118"/>
      <c r="M62" s="119"/>
      <c r="N62" s="119"/>
      <c r="O62" s="119"/>
      <c r="P62" s="118"/>
      <c r="Q62" s="119"/>
      <c r="R62" s="119"/>
      <c r="S62" s="119"/>
      <c r="T62" s="119"/>
      <c r="U62" s="118"/>
      <c r="V62" s="103" t="s">
        <v>35</v>
      </c>
      <c r="W62" s="104" t="s">
        <v>37</v>
      </c>
      <c r="X62" s="103" t="s">
        <v>20</v>
      </c>
      <c r="Y62" s="62"/>
      <c r="Z62" s="62"/>
      <c r="AA62" s="62"/>
      <c r="AB62" s="62"/>
    </row>
    <row r="63" spans="1:28" ht="15.75" customHeight="1">
      <c r="A63" s="122" t="s">
        <v>237</v>
      </c>
      <c r="B63" s="122"/>
      <c r="C63" s="123"/>
      <c r="D63" s="68"/>
      <c r="E63" s="124"/>
      <c r="F63" s="125"/>
      <c r="G63" s="122"/>
      <c r="H63" s="122"/>
      <c r="I63" s="122"/>
      <c r="J63" s="122"/>
      <c r="K63" s="123"/>
      <c r="L63" s="122"/>
      <c r="M63" s="123"/>
      <c r="N63" s="123"/>
      <c r="O63" s="123"/>
      <c r="P63" s="122"/>
      <c r="Q63" s="123"/>
      <c r="R63" s="123"/>
      <c r="S63" s="123"/>
      <c r="T63" s="123"/>
      <c r="U63" s="122"/>
      <c r="V63" s="117" t="s">
        <v>35</v>
      </c>
      <c r="W63" s="104" t="s">
        <v>37</v>
      </c>
      <c r="X63" s="117" t="s">
        <v>20</v>
      </c>
      <c r="Y63" s="68"/>
      <c r="Z63" s="68"/>
      <c r="AA63" s="68"/>
      <c r="AB63" s="68"/>
    </row>
    <row r="64" spans="1:28" ht="15.75" customHeight="1">
      <c r="A64" s="126" t="s">
        <v>238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 t="s">
        <v>42</v>
      </c>
      <c r="W64" s="104" t="s">
        <v>22</v>
      </c>
      <c r="X64" s="103" t="s">
        <v>20</v>
      </c>
      <c r="Y64" s="103"/>
      <c r="Z64" s="103"/>
      <c r="AA64" s="103"/>
      <c r="AB64" s="62"/>
    </row>
    <row r="65" spans="1:28" ht="15.75" customHeight="1">
      <c r="A65" s="126" t="s">
        <v>239</v>
      </c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 t="s">
        <v>42</v>
      </c>
      <c r="W65" s="104" t="s">
        <v>22</v>
      </c>
      <c r="X65" s="117" t="s">
        <v>20</v>
      </c>
      <c r="Y65" s="117"/>
      <c r="Z65" s="117"/>
      <c r="AA65" s="117"/>
      <c r="AB65" s="68"/>
    </row>
    <row r="66" spans="1:28" ht="15.75" customHeight="1">
      <c r="A66" s="126" t="s">
        <v>240</v>
      </c>
      <c r="B66" s="103"/>
      <c r="C66" s="103"/>
      <c r="D66" s="62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17" t="s">
        <v>42</v>
      </c>
      <c r="W66" s="104" t="s">
        <v>22</v>
      </c>
      <c r="X66" s="103" t="s">
        <v>20</v>
      </c>
      <c r="Y66" s="103"/>
      <c r="Z66" s="103"/>
      <c r="AA66" s="103"/>
      <c r="AB66" s="62"/>
    </row>
    <row r="67" spans="1:28" ht="15.75" customHeight="1">
      <c r="A67" s="126" t="s">
        <v>241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 t="s">
        <v>42</v>
      </c>
      <c r="W67" s="104" t="s">
        <v>22</v>
      </c>
      <c r="X67" s="117" t="s">
        <v>20</v>
      </c>
      <c r="Y67" s="117"/>
      <c r="Z67" s="117"/>
      <c r="AA67" s="117"/>
      <c r="AB67" s="68"/>
    </row>
    <row r="68" spans="1:28" ht="15.75" customHeight="1">
      <c r="A68" s="126" t="s">
        <v>243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17" t="s">
        <v>42</v>
      </c>
      <c r="W68" s="104" t="s">
        <v>22</v>
      </c>
      <c r="X68" s="103" t="s">
        <v>20</v>
      </c>
      <c r="Y68" s="103"/>
      <c r="Z68" s="103"/>
      <c r="AA68" s="103"/>
      <c r="AB68" s="62"/>
    </row>
    <row r="69" spans="1:28" ht="15.75" customHeight="1">
      <c r="A69" s="126" t="s">
        <v>244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 t="s">
        <v>42</v>
      </c>
      <c r="W69" s="104" t="s">
        <v>22</v>
      </c>
      <c r="X69" s="117" t="s">
        <v>20</v>
      </c>
      <c r="Y69" s="117"/>
      <c r="Z69" s="117"/>
      <c r="AA69" s="117"/>
      <c r="AB69" s="68"/>
    </row>
    <row r="70" spans="1:28" ht="15.75" customHeight="1">
      <c r="A70" s="126" t="s">
        <v>245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17" t="s">
        <v>42</v>
      </c>
      <c r="W70" s="104" t="s">
        <v>22</v>
      </c>
      <c r="X70" s="103" t="s">
        <v>20</v>
      </c>
      <c r="Y70" s="103"/>
      <c r="Z70" s="103"/>
      <c r="AA70" s="103"/>
      <c r="AB70" s="62"/>
    </row>
    <row r="71" spans="1:28" ht="15.75" customHeight="1">
      <c r="A71" s="126" t="s">
        <v>246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 t="s">
        <v>42</v>
      </c>
      <c r="W71" s="104" t="s">
        <v>22</v>
      </c>
      <c r="X71" s="117" t="s">
        <v>20</v>
      </c>
      <c r="Y71" s="117"/>
      <c r="Z71" s="117"/>
      <c r="AA71" s="117"/>
      <c r="AB71" s="68"/>
    </row>
    <row r="72" spans="1:28" ht="15.75" customHeight="1">
      <c r="A72" s="126" t="s">
        <v>247</v>
      </c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17" t="s">
        <v>42</v>
      </c>
      <c r="W72" s="104" t="s">
        <v>22</v>
      </c>
      <c r="X72" s="103" t="s">
        <v>20</v>
      </c>
      <c r="Y72" s="103"/>
      <c r="Z72" s="103"/>
      <c r="AA72" s="103"/>
      <c r="AB72" s="62"/>
    </row>
    <row r="73" spans="1:28" ht="15.75" customHeight="1">
      <c r="A73" s="126" t="s">
        <v>248</v>
      </c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68"/>
      <c r="R73" s="117"/>
      <c r="S73" s="117"/>
      <c r="T73" s="117"/>
      <c r="U73" s="117"/>
      <c r="V73" s="117" t="s">
        <v>42</v>
      </c>
      <c r="W73" s="104" t="s">
        <v>22</v>
      </c>
      <c r="X73" s="117" t="s">
        <v>20</v>
      </c>
      <c r="Y73" s="117"/>
      <c r="Z73" s="117"/>
      <c r="AA73" s="117"/>
      <c r="AB73" s="68"/>
    </row>
    <row r="74" spans="1:28" ht="15.75" customHeight="1">
      <c r="A74" s="126" t="s">
        <v>249</v>
      </c>
      <c r="B74" s="103"/>
      <c r="C74" s="103"/>
      <c r="D74" s="62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17" t="s">
        <v>42</v>
      </c>
      <c r="W74" s="104" t="s">
        <v>22</v>
      </c>
      <c r="X74" s="103" t="s">
        <v>20</v>
      </c>
      <c r="Y74" s="103"/>
      <c r="Z74" s="103"/>
      <c r="AA74" s="103"/>
      <c r="AB74" s="62"/>
    </row>
    <row r="75" spans="1:28" ht="15.75" customHeight="1">
      <c r="A75" s="126" t="s">
        <v>250</v>
      </c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 t="s">
        <v>42</v>
      </c>
      <c r="W75" s="104" t="s">
        <v>22</v>
      </c>
      <c r="X75" s="117" t="s">
        <v>20</v>
      </c>
      <c r="Y75" s="117"/>
      <c r="Z75" s="117"/>
      <c r="AA75" s="117"/>
      <c r="AB75" s="68"/>
    </row>
    <row r="76" spans="1:28" ht="15.75" customHeight="1">
      <c r="A76" s="126" t="s">
        <v>251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17" t="s">
        <v>42</v>
      </c>
      <c r="W76" s="104" t="s">
        <v>22</v>
      </c>
      <c r="X76" s="103" t="s">
        <v>20</v>
      </c>
      <c r="Y76" s="103"/>
      <c r="Z76" s="103"/>
      <c r="AA76" s="103"/>
      <c r="AB76" s="62"/>
    </row>
    <row r="77" spans="1:28" ht="15.75" customHeight="1">
      <c r="A77" s="126" t="s">
        <v>253</v>
      </c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 t="s">
        <v>42</v>
      </c>
      <c r="W77" s="104" t="s">
        <v>22</v>
      </c>
      <c r="X77" s="117" t="s">
        <v>20</v>
      </c>
      <c r="Y77" s="117"/>
      <c r="Z77" s="117"/>
      <c r="AA77" s="117"/>
      <c r="AB77" s="68"/>
    </row>
    <row r="78" spans="1:28" ht="15.75" customHeight="1">
      <c r="A78" s="126" t="s">
        <v>255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17" t="s">
        <v>42</v>
      </c>
      <c r="W78" s="104" t="s">
        <v>22</v>
      </c>
      <c r="X78" s="103" t="s">
        <v>20</v>
      </c>
      <c r="Y78" s="103"/>
      <c r="Z78" s="103"/>
      <c r="AA78" s="103"/>
      <c r="AB78" s="62"/>
    </row>
    <row r="79" spans="1:28" ht="15.75" customHeight="1">
      <c r="A79" s="126" t="s">
        <v>256</v>
      </c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68"/>
      <c r="R79" s="117"/>
      <c r="S79" s="117"/>
      <c r="T79" s="117"/>
      <c r="U79" s="117"/>
      <c r="V79" s="117" t="s">
        <v>42</v>
      </c>
      <c r="W79" s="104" t="s">
        <v>22</v>
      </c>
      <c r="X79" s="117" t="s">
        <v>20</v>
      </c>
      <c r="Y79" s="117"/>
      <c r="Z79" s="117"/>
      <c r="AA79" s="117"/>
      <c r="AB79" s="68"/>
    </row>
    <row r="80" spans="1:28" ht="15.75" customHeight="1">
      <c r="A80" s="126" t="s">
        <v>257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 t="s">
        <v>42</v>
      </c>
      <c r="W80" s="104" t="s">
        <v>22</v>
      </c>
      <c r="X80" s="103" t="s">
        <v>20</v>
      </c>
      <c r="Y80" s="103"/>
      <c r="Z80" s="103"/>
      <c r="AA80" s="103"/>
      <c r="AB80" s="62"/>
    </row>
    <row r="81" spans="1:28" ht="15.75" customHeight="1">
      <c r="A81" s="126" t="s">
        <v>259</v>
      </c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 t="s">
        <v>42</v>
      </c>
      <c r="W81" s="104" t="s">
        <v>22</v>
      </c>
      <c r="X81" s="117" t="s">
        <v>20</v>
      </c>
      <c r="Y81" s="117"/>
      <c r="Z81" s="117"/>
      <c r="AA81" s="117"/>
      <c r="AB81" s="68"/>
    </row>
    <row r="82" spans="1:28" ht="15.75" customHeight="1">
      <c r="A82" s="126" t="s">
        <v>261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 t="s">
        <v>42</v>
      </c>
      <c r="W82" s="104" t="s">
        <v>22</v>
      </c>
      <c r="X82" s="103" t="s">
        <v>20</v>
      </c>
      <c r="Y82" s="103"/>
      <c r="Z82" s="103"/>
      <c r="AA82" s="103"/>
      <c r="AB82" s="62"/>
    </row>
    <row r="83" spans="1:28" ht="15.75" customHeight="1">
      <c r="A83" s="126" t="s">
        <v>262</v>
      </c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 t="s">
        <v>42</v>
      </c>
      <c r="W83" s="104" t="s">
        <v>22</v>
      </c>
      <c r="X83" s="117" t="s">
        <v>20</v>
      </c>
      <c r="Y83" s="117"/>
      <c r="Z83" s="117"/>
      <c r="AA83" s="117"/>
      <c r="AB83" s="68"/>
    </row>
    <row r="84" spans="1:28" ht="15.75" customHeight="1">
      <c r="A84" s="126" t="s">
        <v>263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 t="s">
        <v>42</v>
      </c>
      <c r="W84" s="104" t="s">
        <v>22</v>
      </c>
      <c r="X84" s="103" t="s">
        <v>20</v>
      </c>
      <c r="Y84" s="103"/>
      <c r="Z84" s="103"/>
      <c r="AA84" s="103"/>
      <c r="AB84" s="62"/>
    </row>
    <row r="85" spans="1:28" ht="15.75" customHeight="1">
      <c r="A85" s="126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 t="s">
        <v>42</v>
      </c>
      <c r="W85" s="104" t="s">
        <v>22</v>
      </c>
      <c r="X85" s="117" t="s">
        <v>20</v>
      </c>
      <c r="Y85" s="117"/>
      <c r="Z85" s="117"/>
      <c r="AA85" s="117"/>
      <c r="AB85" s="68"/>
    </row>
    <row r="86" spans="1:28" ht="15.75" customHeight="1">
      <c r="A86" s="126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 t="s">
        <v>42</v>
      </c>
      <c r="W86" s="104" t="s">
        <v>22</v>
      </c>
      <c r="X86" s="103" t="s">
        <v>20</v>
      </c>
      <c r="Y86" s="103"/>
      <c r="Z86" s="103"/>
      <c r="AA86" s="103"/>
      <c r="AB86" s="62"/>
    </row>
    <row r="87" spans="1:28" ht="15.75" customHeight="1">
      <c r="A87" s="126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 t="s">
        <v>42</v>
      </c>
      <c r="W87" s="104" t="s">
        <v>22</v>
      </c>
      <c r="X87" s="117" t="s">
        <v>20</v>
      </c>
      <c r="Y87" s="117"/>
      <c r="Z87" s="117"/>
      <c r="AA87" s="117"/>
      <c r="AB87" s="68"/>
    </row>
    <row r="88" spans="1:28" ht="15.75" customHeight="1">
      <c r="A88" s="126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 t="s">
        <v>42</v>
      </c>
      <c r="W88" s="104" t="s">
        <v>22</v>
      </c>
      <c r="X88" s="103" t="s">
        <v>20</v>
      </c>
      <c r="Y88" s="103"/>
      <c r="Z88" s="103"/>
      <c r="AA88" s="103"/>
      <c r="AB88" s="62"/>
    </row>
    <row r="89" spans="1:28" ht="15.75" customHeight="1">
      <c r="A89" s="126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 t="s">
        <v>42</v>
      </c>
      <c r="W89" s="104" t="s">
        <v>22</v>
      </c>
      <c r="X89" s="117" t="s">
        <v>20</v>
      </c>
      <c r="Y89" s="117"/>
      <c r="Z89" s="117"/>
      <c r="AA89" s="117"/>
      <c r="AB89" s="68"/>
    </row>
    <row r="90" spans="1:28" ht="15.75" customHeight="1">
      <c r="A90" s="126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62"/>
      <c r="R90" s="103"/>
      <c r="S90" s="103"/>
      <c r="T90" s="103"/>
      <c r="U90" s="103"/>
      <c r="V90" s="103" t="s">
        <v>42</v>
      </c>
      <c r="W90" s="104" t="s">
        <v>22</v>
      </c>
      <c r="X90" s="103" t="s">
        <v>20</v>
      </c>
      <c r="Y90" s="103"/>
      <c r="Z90" s="103"/>
      <c r="AA90" s="103"/>
      <c r="AB90" s="62"/>
    </row>
    <row r="91" spans="1:28" ht="15.75" customHeight="1">
      <c r="A91" s="126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68"/>
      <c r="R91" s="117"/>
      <c r="S91" s="117"/>
      <c r="T91" s="117"/>
      <c r="U91" s="117"/>
      <c r="V91" s="117" t="s">
        <v>42</v>
      </c>
      <c r="W91" s="104" t="s">
        <v>22</v>
      </c>
      <c r="X91" s="117" t="s">
        <v>20</v>
      </c>
      <c r="Y91" s="117"/>
      <c r="Z91" s="117"/>
      <c r="AA91" s="117"/>
      <c r="AB91" s="68"/>
    </row>
    <row r="92" spans="1:28" ht="15.75" customHeight="1">
      <c r="A92" s="126"/>
      <c r="B92" s="130"/>
      <c r="C92" s="130"/>
      <c r="D92" s="130"/>
      <c r="E92" s="131"/>
      <c r="F92" s="131"/>
      <c r="G92" s="130"/>
      <c r="H92" s="130"/>
      <c r="I92" s="132"/>
      <c r="J92" s="130"/>
      <c r="K92" s="130"/>
      <c r="L92" s="130"/>
      <c r="M92" s="130"/>
      <c r="N92" s="130"/>
      <c r="O92" s="130"/>
      <c r="P92" s="130"/>
      <c r="Q92" s="130"/>
      <c r="R92" s="130"/>
      <c r="S92" s="133"/>
      <c r="T92" s="133"/>
      <c r="U92" s="130"/>
      <c r="V92" s="133" t="s">
        <v>42</v>
      </c>
      <c r="W92" s="134" t="s">
        <v>22</v>
      </c>
      <c r="X92" s="132" t="s">
        <v>20</v>
      </c>
      <c r="Y92" s="135"/>
      <c r="Z92" s="131"/>
      <c r="AA92" s="15"/>
      <c r="AB92" s="15"/>
    </row>
    <row r="93" spans="1:28" ht="15.75" customHeight="1">
      <c r="A93" s="13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137"/>
      <c r="X93" s="8"/>
      <c r="Y93" s="8"/>
      <c r="Z93" s="8"/>
      <c r="AA93" s="8"/>
      <c r="AB93" s="8"/>
    </row>
    <row r="94" spans="1:28" ht="15.75" customHeight="1">
      <c r="A94" s="136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37"/>
      <c r="X94" s="15"/>
      <c r="Y94" s="15"/>
      <c r="Z94" s="15"/>
      <c r="AA94" s="15"/>
      <c r="AB94" s="15"/>
    </row>
    <row r="95" spans="1:28" ht="15.75" customHeight="1">
      <c r="A95" s="13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37"/>
      <c r="X95" s="8"/>
      <c r="Y95" s="8"/>
      <c r="Z95" s="8"/>
      <c r="AA95" s="8"/>
      <c r="AB95" s="8"/>
    </row>
    <row r="96" spans="1:28" ht="15.75" customHeight="1">
      <c r="A96" s="13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37"/>
      <c r="X96" s="15"/>
      <c r="Y96" s="15"/>
      <c r="Z96" s="15"/>
      <c r="AA96" s="15"/>
      <c r="AB96" s="15"/>
    </row>
    <row r="97" spans="1:28" ht="15.75" customHeight="1">
      <c r="A97" s="13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37"/>
      <c r="X97" s="8"/>
      <c r="Y97" s="8"/>
      <c r="Z97" s="8"/>
      <c r="AA97" s="8"/>
      <c r="AB97" s="8"/>
    </row>
    <row r="98" spans="1:28" ht="15.75" customHeight="1">
      <c r="A98" s="13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37"/>
      <c r="X98" s="15"/>
      <c r="Y98" s="15"/>
      <c r="Z98" s="15"/>
      <c r="AA98" s="15"/>
      <c r="AB98" s="15"/>
    </row>
    <row r="99" spans="1:28" ht="15.75" customHeight="1">
      <c r="A99" s="13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37"/>
      <c r="X99" s="8"/>
      <c r="Y99" s="8"/>
      <c r="Z99" s="8"/>
      <c r="AA99" s="8"/>
      <c r="AB99" s="8"/>
    </row>
    <row r="100" spans="1:28" ht="15.75" customHeight="1">
      <c r="A100" s="13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37"/>
      <c r="X100" s="15"/>
      <c r="Y100" s="15"/>
      <c r="Z100" s="15"/>
      <c r="AA100" s="15"/>
      <c r="AB100" s="15"/>
    </row>
    <row r="101" spans="1:28" ht="15.75" customHeight="1">
      <c r="A101" s="13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37"/>
      <c r="X101" s="8"/>
      <c r="Y101" s="8"/>
      <c r="Z101" s="8"/>
      <c r="AA101" s="8"/>
      <c r="AB101" s="8"/>
    </row>
    <row r="102" spans="1:28" ht="15.75" customHeight="1">
      <c r="A102" s="13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37"/>
      <c r="X102" s="15"/>
      <c r="Y102" s="15"/>
      <c r="Z102" s="15"/>
      <c r="AA102" s="15"/>
      <c r="AB102" s="15"/>
    </row>
    <row r="103" spans="1:28" ht="15.75" customHeight="1">
      <c r="A103" s="13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137"/>
      <c r="X103" s="8"/>
      <c r="Y103" s="8"/>
      <c r="Z103" s="8"/>
      <c r="AA103" s="8"/>
      <c r="AB103" s="8"/>
    </row>
    <row r="104" spans="1:28" ht="15.75" customHeight="1">
      <c r="A104" s="13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37"/>
      <c r="X104" s="15"/>
      <c r="Y104" s="15"/>
      <c r="Z104" s="15"/>
      <c r="AA104" s="15"/>
      <c r="AB104" s="15"/>
    </row>
    <row r="105" spans="1:28" ht="15.75" customHeight="1">
      <c r="A105" s="13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137"/>
      <c r="X105" s="8"/>
      <c r="Y105" s="8"/>
      <c r="Z105" s="8"/>
      <c r="AA105" s="8"/>
      <c r="AB105" s="8"/>
    </row>
    <row r="106" spans="1:28" ht="15.75" customHeight="1">
      <c r="A106" s="13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37"/>
      <c r="X106" s="15"/>
      <c r="Y106" s="15"/>
      <c r="Z106" s="15"/>
      <c r="AA106" s="15"/>
      <c r="AB106" s="15"/>
    </row>
    <row r="107" spans="1:28" ht="15.75" customHeight="1">
      <c r="A107" s="13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37"/>
      <c r="X107" s="8"/>
      <c r="Y107" s="8"/>
      <c r="Z107" s="8"/>
      <c r="AA107" s="8"/>
      <c r="AB107" s="8"/>
    </row>
    <row r="108" spans="1:28" ht="15.75" customHeight="1">
      <c r="A108" s="13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37"/>
      <c r="X108" s="15"/>
      <c r="Y108" s="15"/>
      <c r="Z108" s="15"/>
      <c r="AA108" s="15"/>
      <c r="AB108" s="15"/>
    </row>
    <row r="109" spans="1:28" ht="15.75" customHeight="1">
      <c r="A109" s="13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137"/>
      <c r="X109" s="8"/>
      <c r="Y109" s="8"/>
      <c r="Z109" s="8"/>
      <c r="AA109" s="8"/>
      <c r="AB109" s="8"/>
    </row>
    <row r="110" spans="1:28" ht="15.75" customHeight="1">
      <c r="A110" s="13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37"/>
      <c r="X110" s="15"/>
      <c r="Y110" s="15"/>
      <c r="Z110" s="15"/>
      <c r="AA110" s="15"/>
      <c r="AB110" s="15"/>
    </row>
    <row r="111" spans="1:28" ht="15.75" customHeight="1">
      <c r="A111" s="13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137"/>
      <c r="X111" s="8"/>
      <c r="Y111" s="8"/>
      <c r="Z111" s="8"/>
      <c r="AA111" s="8"/>
      <c r="AB111" s="8"/>
    </row>
    <row r="112" spans="1:28" ht="15.75" customHeight="1">
      <c r="A112" s="13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37"/>
      <c r="X112" s="15"/>
      <c r="Y112" s="15"/>
      <c r="Z112" s="15"/>
      <c r="AA112" s="15"/>
      <c r="AB112" s="15"/>
    </row>
    <row r="113" spans="1:28" ht="15.75" customHeight="1">
      <c r="A113" s="13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137"/>
      <c r="X113" s="8"/>
      <c r="Y113" s="8"/>
      <c r="Z113" s="8"/>
      <c r="AA113" s="8"/>
      <c r="AB113" s="8"/>
    </row>
    <row r="114" spans="1:28" ht="15.75" customHeight="1">
      <c r="A114" s="13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37"/>
      <c r="X114" s="15"/>
      <c r="Y114" s="15"/>
      <c r="Z114" s="15"/>
      <c r="AA114" s="15"/>
      <c r="AB114" s="15"/>
    </row>
    <row r="115" spans="1:28" ht="15.75" customHeight="1">
      <c r="A115" s="13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137"/>
      <c r="X115" s="8"/>
      <c r="Y115" s="8"/>
      <c r="Z115" s="8"/>
      <c r="AA115" s="8"/>
      <c r="AB115" s="8"/>
    </row>
    <row r="116" spans="1:28" ht="15.75" customHeight="1">
      <c r="A116" s="13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37"/>
      <c r="X116" s="15"/>
      <c r="Y116" s="15"/>
      <c r="Z116" s="15"/>
      <c r="AA116" s="15"/>
      <c r="AB116" s="15"/>
    </row>
    <row r="117" spans="1:28" ht="15.75" customHeight="1">
      <c r="A117" s="13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137"/>
      <c r="X117" s="8"/>
      <c r="Y117" s="8"/>
      <c r="Z117" s="8"/>
      <c r="AA117" s="8"/>
      <c r="AB117" s="8"/>
    </row>
    <row r="118" spans="1:28" ht="15.75" customHeight="1">
      <c r="A118" s="13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37"/>
      <c r="X118" s="15"/>
      <c r="Y118" s="15"/>
      <c r="Z118" s="15"/>
      <c r="AA118" s="15"/>
      <c r="AB118" s="15"/>
    </row>
    <row r="119" spans="1:28" ht="15.75" customHeight="1">
      <c r="A119" s="13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37"/>
      <c r="X119" s="8"/>
      <c r="Y119" s="8"/>
      <c r="Z119" s="8"/>
      <c r="AA119" s="8"/>
      <c r="AB119" s="8"/>
    </row>
    <row r="120" spans="1:28" ht="15.75" customHeight="1">
      <c r="A120" s="13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37"/>
      <c r="X120" s="15"/>
      <c r="Y120" s="15"/>
      <c r="Z120" s="15"/>
      <c r="AA120" s="15"/>
      <c r="AB120" s="15"/>
    </row>
    <row r="121" spans="1:28" ht="15.75" customHeight="1">
      <c r="A121" s="13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37"/>
      <c r="X121" s="8"/>
      <c r="Y121" s="8"/>
      <c r="Z121" s="8"/>
      <c r="AA121" s="8"/>
      <c r="AB121" s="8"/>
    </row>
    <row r="122" spans="1:28" ht="15.75" customHeight="1">
      <c r="A122" s="13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37"/>
      <c r="X122" s="15"/>
      <c r="Y122" s="15"/>
      <c r="Z122" s="15"/>
      <c r="AA122" s="15"/>
      <c r="AB122" s="15"/>
    </row>
    <row r="123" spans="1:28" ht="15.75" customHeight="1">
      <c r="A123" s="13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37"/>
      <c r="X123" s="8"/>
      <c r="Y123" s="8"/>
      <c r="Z123" s="8"/>
      <c r="AA123" s="8"/>
      <c r="AB123" s="8"/>
    </row>
    <row r="124" spans="1:28" ht="15.75" customHeight="1">
      <c r="A124" s="13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37"/>
      <c r="X124" s="15"/>
      <c r="Y124" s="15"/>
      <c r="Z124" s="15"/>
      <c r="AA124" s="15"/>
      <c r="AB124" s="15"/>
    </row>
    <row r="125" spans="1:28" ht="15.75" customHeight="1">
      <c r="A125" s="13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37"/>
      <c r="X125" s="8"/>
      <c r="Y125" s="8"/>
      <c r="Z125" s="8"/>
      <c r="AA125" s="8"/>
      <c r="AB125" s="8"/>
    </row>
    <row r="126" spans="1:28" ht="15.75" customHeight="1">
      <c r="A126" s="13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37"/>
      <c r="X126" s="15"/>
      <c r="Y126" s="15"/>
      <c r="Z126" s="15"/>
      <c r="AA126" s="15"/>
      <c r="AB126" s="15"/>
    </row>
    <row r="127" spans="1:28" ht="15.75" customHeight="1">
      <c r="A127" s="13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37"/>
      <c r="X127" s="8"/>
      <c r="Y127" s="8"/>
      <c r="Z127" s="8"/>
      <c r="AA127" s="8"/>
      <c r="AB127" s="8"/>
    </row>
    <row r="128" spans="1:28" ht="15.75" customHeight="1">
      <c r="A128" s="13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37"/>
      <c r="X128" s="15"/>
      <c r="Y128" s="15"/>
      <c r="Z128" s="15"/>
      <c r="AA128" s="15"/>
      <c r="AB128" s="15"/>
    </row>
    <row r="129" spans="1:28" ht="15.75" customHeight="1">
      <c r="A129" s="13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137"/>
      <c r="X129" s="8"/>
      <c r="Y129" s="8"/>
      <c r="Z129" s="8"/>
      <c r="AA129" s="8"/>
      <c r="AB129" s="8"/>
    </row>
    <row r="130" spans="1:28" ht="15.75" customHeight="1">
      <c r="A130" s="13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37"/>
      <c r="X130" s="15"/>
      <c r="Y130" s="15"/>
      <c r="Z130" s="15"/>
      <c r="AA130" s="15"/>
      <c r="AB130" s="15"/>
    </row>
    <row r="131" spans="1:28" ht="15.75" customHeight="1">
      <c r="A131" s="13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137"/>
      <c r="X131" s="8"/>
      <c r="Y131" s="8"/>
      <c r="Z131" s="8"/>
      <c r="AA131" s="8"/>
      <c r="AB131" s="8"/>
    </row>
    <row r="132" spans="1:28" ht="15.75" customHeight="1">
      <c r="A132" s="13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37"/>
      <c r="X132" s="15"/>
      <c r="Y132" s="15"/>
      <c r="Z132" s="15"/>
      <c r="AA132" s="15"/>
      <c r="AB132" s="15"/>
    </row>
    <row r="133" spans="1:28" ht="15.75" customHeight="1">
      <c r="A133" s="13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137"/>
      <c r="X133" s="8"/>
      <c r="Y133" s="8"/>
      <c r="Z133" s="8"/>
      <c r="AA133" s="8"/>
      <c r="AB133" s="8"/>
    </row>
    <row r="134" spans="1:28" ht="15.75" customHeight="1">
      <c r="A134" s="13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37"/>
      <c r="X134" s="15"/>
      <c r="Y134" s="15"/>
      <c r="Z134" s="15"/>
      <c r="AA134" s="15"/>
      <c r="AB134" s="15"/>
    </row>
    <row r="135" spans="1:28" ht="15.75" customHeight="1">
      <c r="A135" s="13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137"/>
      <c r="X135" s="8"/>
      <c r="Y135" s="8"/>
      <c r="Z135" s="8"/>
      <c r="AA135" s="8"/>
      <c r="AB135" s="8"/>
    </row>
    <row r="136" spans="1:28" ht="15.75" customHeight="1">
      <c r="A136" s="13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37"/>
      <c r="X136" s="15"/>
      <c r="Y136" s="15"/>
      <c r="Z136" s="15"/>
      <c r="AA136" s="15"/>
      <c r="AB136" s="15"/>
    </row>
    <row r="137" spans="1:28" ht="15.75" customHeight="1">
      <c r="A137" s="13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137"/>
      <c r="X137" s="8"/>
      <c r="Y137" s="8"/>
      <c r="Z137" s="8"/>
      <c r="AA137" s="8"/>
      <c r="AB137" s="8"/>
    </row>
    <row r="138" spans="1:28" ht="15.75" customHeight="1">
      <c r="A138" s="13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37"/>
      <c r="X138" s="15"/>
      <c r="Y138" s="15"/>
      <c r="Z138" s="15"/>
      <c r="AA138" s="15"/>
      <c r="AB138" s="15"/>
    </row>
    <row r="139" spans="1:28" ht="15.75" customHeight="1">
      <c r="A139" s="13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37"/>
      <c r="X139" s="8"/>
      <c r="Y139" s="8"/>
      <c r="Z139" s="8"/>
      <c r="AA139" s="8"/>
      <c r="AB139" s="8"/>
    </row>
    <row r="140" spans="1:28" ht="15.75" customHeight="1">
      <c r="A140" s="13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37"/>
      <c r="X140" s="15"/>
      <c r="Y140" s="15"/>
      <c r="Z140" s="15"/>
      <c r="AA140" s="15"/>
      <c r="AB140" s="15"/>
    </row>
    <row r="141" spans="1:28" ht="15.75" customHeight="1">
      <c r="A141" s="13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137"/>
      <c r="X141" s="8"/>
      <c r="Y141" s="8"/>
      <c r="Z141" s="8"/>
      <c r="AA141" s="8"/>
      <c r="AB141" s="8"/>
    </row>
    <row r="142" spans="1:28" ht="15.75" customHeight="1">
      <c r="A142" s="13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37"/>
      <c r="X142" s="15"/>
      <c r="Y142" s="15"/>
      <c r="Z142" s="15"/>
      <c r="AA142" s="15"/>
      <c r="AB142" s="15"/>
    </row>
    <row r="143" spans="1:28" ht="15.75" customHeight="1">
      <c r="A143" s="13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137"/>
      <c r="X143" s="8"/>
      <c r="Y143" s="8"/>
      <c r="Z143" s="8"/>
      <c r="AA143" s="8"/>
      <c r="AB143" s="8"/>
    </row>
    <row r="144" spans="1:28" ht="15.75" customHeight="1">
      <c r="A144" s="13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37"/>
      <c r="X144" s="15"/>
      <c r="Y144" s="15"/>
      <c r="Z144" s="15"/>
      <c r="AA144" s="15"/>
      <c r="AB144" s="15"/>
    </row>
    <row r="145" spans="1:28" ht="15.75" customHeight="1">
      <c r="A145" s="13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137"/>
      <c r="X145" s="8"/>
      <c r="Y145" s="8"/>
      <c r="Z145" s="8"/>
      <c r="AA145" s="8"/>
      <c r="AB145" s="8"/>
    </row>
    <row r="146" spans="1:28" ht="15.75" customHeight="1">
      <c r="A146" s="13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37"/>
      <c r="X146" s="15"/>
      <c r="Y146" s="15"/>
      <c r="Z146" s="15"/>
      <c r="AA146" s="15"/>
      <c r="AB146" s="15"/>
    </row>
    <row r="147" spans="1:28" ht="15.75" customHeight="1">
      <c r="A147" s="13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137"/>
      <c r="X147" s="8"/>
      <c r="Y147" s="8"/>
      <c r="Z147" s="8"/>
      <c r="AA147" s="8"/>
      <c r="AB147" s="8"/>
    </row>
    <row r="148" spans="1:28" ht="15.75" customHeight="1">
      <c r="A148" s="13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37"/>
      <c r="X148" s="15"/>
      <c r="Y148" s="15"/>
      <c r="Z148" s="15"/>
      <c r="AA148" s="15"/>
      <c r="AB148" s="15"/>
    </row>
    <row r="149" spans="1:28" ht="15.75" customHeight="1">
      <c r="A149" s="13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137"/>
      <c r="X149" s="8"/>
      <c r="Y149" s="8"/>
      <c r="Z149" s="8"/>
      <c r="AA149" s="8"/>
      <c r="AB149" s="8"/>
    </row>
    <row r="150" spans="1:28" ht="15.75" customHeight="1">
      <c r="A150" s="13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37"/>
      <c r="X150" s="15"/>
      <c r="Y150" s="15"/>
      <c r="Z150" s="15"/>
      <c r="AA150" s="15"/>
      <c r="AB150" s="15"/>
    </row>
    <row r="151" spans="1:28" ht="15.75" customHeight="1">
      <c r="A151" s="13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137"/>
      <c r="X151" s="8"/>
      <c r="Y151" s="8"/>
      <c r="Z151" s="8"/>
      <c r="AA151" s="8"/>
      <c r="AB151" s="8"/>
    </row>
    <row r="152" spans="1:28" ht="15.75" customHeight="1">
      <c r="A152" s="13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37"/>
      <c r="X152" s="15"/>
      <c r="Y152" s="15"/>
      <c r="Z152" s="15"/>
      <c r="AA152" s="15"/>
      <c r="AB152" s="15"/>
    </row>
    <row r="153" spans="1:28" ht="15.75" customHeight="1">
      <c r="A153" s="13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137"/>
      <c r="X153" s="8"/>
      <c r="Y153" s="8"/>
      <c r="Z153" s="8"/>
      <c r="AA153" s="8"/>
      <c r="AB153" s="8"/>
    </row>
    <row r="154" spans="1:28" ht="15.75" customHeight="1">
      <c r="A154" s="13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37"/>
      <c r="X154" s="15"/>
      <c r="Y154" s="15"/>
      <c r="Z154" s="15"/>
      <c r="AA154" s="15"/>
      <c r="AB154" s="15"/>
    </row>
    <row r="155" spans="1:28" ht="15.75" customHeight="1">
      <c r="A155" s="13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37"/>
      <c r="X155" s="8"/>
      <c r="Y155" s="8"/>
      <c r="Z155" s="8"/>
      <c r="AA155" s="8"/>
      <c r="AB155" s="8"/>
    </row>
    <row r="156" spans="1:28" ht="15.75" customHeight="1">
      <c r="A156" s="13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37"/>
      <c r="X156" s="15"/>
      <c r="Y156" s="15"/>
      <c r="Z156" s="15"/>
      <c r="AA156" s="15"/>
      <c r="AB156" s="15"/>
    </row>
    <row r="157" spans="1:28" ht="15.75" customHeight="1">
      <c r="A157" s="13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137"/>
      <c r="X157" s="8"/>
      <c r="Y157" s="8"/>
      <c r="Z157" s="8"/>
      <c r="AA157" s="8"/>
      <c r="AB157" s="8"/>
    </row>
    <row r="158" spans="1:28" ht="15.75" customHeight="1">
      <c r="A158" s="13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37"/>
      <c r="X158" s="15"/>
      <c r="Y158" s="15"/>
      <c r="Z158" s="15"/>
      <c r="AA158" s="15"/>
      <c r="AB158" s="15"/>
    </row>
    <row r="159" spans="1:28" ht="15.75" customHeight="1">
      <c r="A159" s="13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137"/>
      <c r="X159" s="8"/>
      <c r="Y159" s="8"/>
      <c r="Z159" s="8"/>
      <c r="AA159" s="8"/>
      <c r="AB159" s="8"/>
    </row>
    <row r="160" spans="1:28" ht="15.75" customHeight="1">
      <c r="A160" s="13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37"/>
      <c r="X160" s="15"/>
      <c r="Y160" s="15"/>
      <c r="Z160" s="15"/>
      <c r="AA160" s="15"/>
      <c r="AB160" s="15"/>
    </row>
    <row r="161" spans="1:28" ht="15.75" customHeight="1">
      <c r="A161" s="13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137"/>
      <c r="X161" s="8"/>
      <c r="Y161" s="8"/>
      <c r="Z161" s="8"/>
      <c r="AA161" s="8"/>
      <c r="AB161" s="8"/>
    </row>
    <row r="162" spans="1:28" ht="15.75" customHeight="1">
      <c r="A162" s="13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37"/>
      <c r="X162" s="15"/>
      <c r="Y162" s="15"/>
      <c r="Z162" s="15"/>
      <c r="AA162" s="15"/>
      <c r="AB162" s="15"/>
    </row>
    <row r="163" spans="1:28" ht="15.75" customHeight="1">
      <c r="A163" s="13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37"/>
      <c r="X163" s="8"/>
      <c r="Y163" s="8"/>
      <c r="Z163" s="8"/>
      <c r="AA163" s="8"/>
      <c r="AB163" s="8"/>
    </row>
    <row r="164" spans="1:28" ht="15.75" customHeight="1">
      <c r="A164" s="13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37"/>
      <c r="X164" s="15"/>
      <c r="Y164" s="15"/>
      <c r="Z164" s="15"/>
      <c r="AA164" s="15"/>
      <c r="AB164" s="15"/>
    </row>
    <row r="165" spans="1:28" ht="15.75" customHeight="1">
      <c r="A165" s="13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137"/>
      <c r="X165" s="8"/>
      <c r="Y165" s="8"/>
      <c r="Z165" s="8"/>
      <c r="AA165" s="8"/>
      <c r="AB165" s="8"/>
    </row>
    <row r="166" spans="1:28" ht="15.75" customHeight="1">
      <c r="A166" s="13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37"/>
      <c r="X166" s="15"/>
      <c r="Y166" s="15"/>
      <c r="Z166" s="15"/>
      <c r="AA166" s="15"/>
      <c r="AB166" s="15"/>
    </row>
    <row r="167" spans="1:28" ht="15.75" customHeight="1">
      <c r="A167" s="13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137"/>
      <c r="X167" s="8"/>
      <c r="Y167" s="8"/>
      <c r="Z167" s="8"/>
      <c r="AA167" s="8"/>
      <c r="AB167" s="8"/>
    </row>
    <row r="168" spans="1:28" ht="15.75" customHeight="1">
      <c r="A168" s="13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37"/>
      <c r="X168" s="15"/>
      <c r="Y168" s="15"/>
      <c r="Z168" s="15"/>
      <c r="AA168" s="15"/>
      <c r="AB168" s="15"/>
    </row>
    <row r="169" spans="1:28" ht="15.75" customHeight="1">
      <c r="A169" s="13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137"/>
      <c r="X169" s="8"/>
      <c r="Y169" s="8"/>
      <c r="Z169" s="8"/>
      <c r="AA169" s="8"/>
      <c r="AB169" s="8"/>
    </row>
    <row r="170" spans="1:28" ht="15.75" customHeight="1">
      <c r="A170" s="13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37"/>
      <c r="X170" s="15"/>
      <c r="Y170" s="15"/>
      <c r="Z170" s="15"/>
      <c r="AA170" s="15"/>
      <c r="AB170" s="15"/>
    </row>
    <row r="171" spans="1:28" ht="15.75" customHeight="1">
      <c r="A171" s="13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37"/>
      <c r="X171" s="8"/>
      <c r="Y171" s="8"/>
      <c r="Z171" s="8"/>
      <c r="AA171" s="8"/>
      <c r="AB171" s="8"/>
    </row>
    <row r="172" spans="1:28" ht="15.75" customHeight="1">
      <c r="A172" s="13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37"/>
      <c r="X172" s="15"/>
      <c r="Y172" s="15"/>
      <c r="Z172" s="15"/>
      <c r="AA172" s="15"/>
      <c r="AB172" s="15"/>
    </row>
    <row r="173" spans="1:28" ht="15.75" customHeight="1">
      <c r="A173" s="13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137"/>
      <c r="X173" s="8"/>
      <c r="Y173" s="8"/>
      <c r="Z173" s="8"/>
      <c r="AA173" s="8"/>
      <c r="AB173" s="8"/>
    </row>
    <row r="174" spans="1:28" ht="15.75" customHeight="1">
      <c r="A174" s="13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37"/>
      <c r="X174" s="15"/>
      <c r="Y174" s="15"/>
      <c r="Z174" s="15"/>
      <c r="AA174" s="15"/>
      <c r="AB174" s="15"/>
    </row>
    <row r="175" spans="1:28" ht="15.75" customHeight="1">
      <c r="A175" s="13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137"/>
      <c r="X175" s="8"/>
      <c r="Y175" s="8"/>
      <c r="Z175" s="8"/>
      <c r="AA175" s="8"/>
      <c r="AB175" s="8"/>
    </row>
    <row r="176" spans="1:28" ht="15.75" customHeight="1">
      <c r="A176" s="13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37"/>
      <c r="X176" s="15"/>
      <c r="Y176" s="15"/>
      <c r="Z176" s="15"/>
      <c r="AA176" s="15"/>
      <c r="AB176" s="15"/>
    </row>
    <row r="177" spans="1:28" ht="15.75" customHeight="1">
      <c r="A177" s="13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137"/>
      <c r="X177" s="8"/>
      <c r="Y177" s="8"/>
      <c r="Z177" s="8"/>
      <c r="AA177" s="8"/>
      <c r="AB177" s="8"/>
    </row>
    <row r="178" spans="1:28" ht="15.75" customHeight="1">
      <c r="A178" s="13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37"/>
      <c r="X178" s="15"/>
      <c r="Y178" s="15"/>
      <c r="Z178" s="15"/>
      <c r="AA178" s="15"/>
      <c r="AB178" s="15"/>
    </row>
    <row r="179" spans="1:28" ht="15.75" customHeight="1">
      <c r="A179" s="13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137"/>
      <c r="X179" s="8"/>
      <c r="Y179" s="8"/>
      <c r="Z179" s="8"/>
      <c r="AA179" s="8"/>
      <c r="AB179" s="8"/>
    </row>
    <row r="180" spans="1:28" ht="15.75" customHeight="1">
      <c r="A180" s="13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37"/>
      <c r="X180" s="15"/>
      <c r="Y180" s="15"/>
      <c r="Z180" s="15"/>
      <c r="AA180" s="15"/>
      <c r="AB180" s="15"/>
    </row>
    <row r="181" spans="1:28" ht="15.75" customHeight="1">
      <c r="A181" s="13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137"/>
      <c r="X181" s="8"/>
      <c r="Y181" s="8"/>
      <c r="Z181" s="8"/>
      <c r="AA181" s="8"/>
      <c r="AB181" s="8"/>
    </row>
    <row r="182" spans="1:28" ht="15.75" customHeight="1">
      <c r="A182" s="13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37"/>
      <c r="X182" s="15"/>
      <c r="Y182" s="15"/>
      <c r="Z182" s="15"/>
      <c r="AA182" s="15"/>
      <c r="AB182" s="15"/>
    </row>
    <row r="183" spans="1:28" ht="15.75" customHeight="1">
      <c r="A183" s="13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137"/>
      <c r="X183" s="8"/>
      <c r="Y183" s="8"/>
      <c r="Z183" s="8"/>
      <c r="AA183" s="8"/>
      <c r="AB183" s="8"/>
    </row>
    <row r="184" spans="1:28" ht="15.75" customHeight="1">
      <c r="A184" s="13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37"/>
      <c r="X184" s="15"/>
      <c r="Y184" s="15"/>
      <c r="Z184" s="15"/>
      <c r="AA184" s="15"/>
      <c r="AB184" s="15"/>
    </row>
    <row r="185" spans="1:28" ht="15.75" customHeight="1">
      <c r="A185" s="13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137"/>
      <c r="X185" s="8"/>
      <c r="Y185" s="8"/>
      <c r="Z185" s="8"/>
      <c r="AA185" s="8"/>
      <c r="AB185" s="8"/>
    </row>
    <row r="186" spans="1:28" ht="15.75" customHeight="1">
      <c r="A186" s="13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37"/>
      <c r="X186" s="15"/>
      <c r="Y186" s="15"/>
      <c r="Z186" s="15"/>
      <c r="AA186" s="15"/>
      <c r="AB186" s="15"/>
    </row>
    <row r="187" spans="1:28" ht="15.75" customHeight="1">
      <c r="A187" s="13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137"/>
      <c r="X187" s="8"/>
      <c r="Y187" s="8"/>
      <c r="Z187" s="8"/>
      <c r="AA187" s="8"/>
      <c r="AB187" s="8"/>
    </row>
    <row r="188" spans="1:28" ht="15.75" customHeight="1">
      <c r="A188" s="13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37"/>
      <c r="X188" s="15"/>
      <c r="Y188" s="15"/>
      <c r="Z188" s="15"/>
      <c r="AA188" s="15"/>
      <c r="AB188" s="15"/>
    </row>
    <row r="189" spans="1:28" ht="15.75" customHeight="1">
      <c r="A189" s="13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137"/>
      <c r="X189" s="8"/>
      <c r="Y189" s="8"/>
      <c r="Z189" s="8"/>
      <c r="AA189" s="8"/>
      <c r="AB189" s="8"/>
    </row>
    <row r="190" spans="1:28" ht="15.75" customHeight="1">
      <c r="A190" s="13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37"/>
      <c r="X190" s="15"/>
      <c r="Y190" s="15"/>
      <c r="Z190" s="15"/>
      <c r="AA190" s="15"/>
      <c r="AB190" s="15"/>
    </row>
    <row r="191" spans="1:28" ht="15.75" customHeight="1">
      <c r="A191" s="13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137"/>
      <c r="X191" s="8"/>
      <c r="Y191" s="8"/>
      <c r="Z191" s="8"/>
      <c r="AA191" s="8"/>
      <c r="AB191" s="8"/>
    </row>
    <row r="192" spans="1:28" ht="15.75" customHeight="1">
      <c r="A192" s="13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37"/>
      <c r="X192" s="15"/>
      <c r="Y192" s="15"/>
      <c r="Z192" s="15"/>
      <c r="AA192" s="15"/>
      <c r="AB192" s="15"/>
    </row>
    <row r="193" spans="1:28" ht="15.75" customHeight="1">
      <c r="A193" s="13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137"/>
      <c r="X193" s="8"/>
      <c r="Y193" s="8"/>
      <c r="Z193" s="8"/>
      <c r="AA193" s="8"/>
      <c r="AB193" s="8"/>
    </row>
    <row r="194" spans="1:28" ht="15.75" customHeight="1">
      <c r="A194" s="13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37"/>
      <c r="X194" s="15"/>
      <c r="Y194" s="15"/>
      <c r="Z194" s="15"/>
      <c r="AA194" s="15"/>
      <c r="AB194" s="15"/>
    </row>
    <row r="195" spans="1:28" ht="15.75" customHeight="1">
      <c r="A195" s="13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137"/>
      <c r="X195" s="8"/>
      <c r="Y195" s="8"/>
      <c r="Z195" s="8"/>
      <c r="AA195" s="8"/>
      <c r="AB195" s="8"/>
    </row>
    <row r="196" spans="1:28" ht="15.75" customHeight="1">
      <c r="A196" s="13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37"/>
      <c r="X196" s="15"/>
      <c r="Y196" s="15"/>
      <c r="Z196" s="15"/>
      <c r="AA196" s="15"/>
      <c r="AB196" s="15"/>
    </row>
    <row r="197" spans="1:28" ht="15.75" customHeight="1">
      <c r="A197" s="13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137"/>
      <c r="X197" s="8"/>
      <c r="Y197" s="8"/>
      <c r="Z197" s="8"/>
      <c r="AA197" s="8"/>
      <c r="AB197" s="8"/>
    </row>
    <row r="198" spans="1:28" ht="14.25" customHeight="1"/>
    <row r="199" spans="1:28" ht="14.25" customHeight="1"/>
    <row r="200" spans="1:28" ht="14.25" customHeight="1"/>
    <row r="201" spans="1:28" ht="14.25" customHeight="1"/>
    <row r="202" spans="1:28" ht="14.25" customHeight="1"/>
    <row r="203" spans="1:28" ht="14.25" customHeight="1"/>
    <row r="204" spans="1:28" ht="14.25" customHeight="1"/>
    <row r="205" spans="1:28" ht="14.25" customHeight="1"/>
    <row r="206" spans="1:28" ht="14.25" customHeight="1"/>
    <row r="207" spans="1:28" ht="14.25" customHeight="1"/>
    <row r="208" spans="1:2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4">
    <mergeCell ref="A1:AB1"/>
    <mergeCell ref="A2:AB2"/>
    <mergeCell ref="A3:U3"/>
    <mergeCell ref="V3:AB3"/>
  </mergeCells>
  <conditionalFormatting sqref="X5:X193">
    <cfRule type="cellIs" dxfId="15" priority="1" operator="equal">
      <formula>"Active"</formula>
    </cfRule>
  </conditionalFormatting>
  <conditionalFormatting sqref="X5:X193">
    <cfRule type="cellIs" dxfId="14" priority="2" operator="equal">
      <formula>"Graduated"</formula>
    </cfRule>
  </conditionalFormatting>
  <conditionalFormatting sqref="X5:X193">
    <cfRule type="cellIs" dxfId="13" priority="3" operator="equal">
      <formula>"Deferred"</formula>
    </cfRule>
  </conditionalFormatting>
  <conditionalFormatting sqref="X5:X193">
    <cfRule type="cellIs" dxfId="12" priority="4" operator="equal">
      <formula>"Withdrawn"</formula>
    </cfRule>
  </conditionalFormatting>
  <dataValidations count="8">
    <dataValidation type="list" allowBlank="1" sqref="I5:I10 G11:H11 I12:I197" xr:uid="{00000000-0002-0000-0300-000001000000}">
      <formula1>"Male,Female"</formula1>
    </dataValidation>
    <dataValidation type="list" allowBlank="1" sqref="L5:L10 S5:T10 K11 R11:S11 S12:T197 L12:L197" xr:uid="{00000000-0002-0000-0300-000002000000}">
      <formula1>"Yes,No,Not Sure"</formula1>
    </dataValidation>
    <dataValidation type="list" allowBlank="1" sqref="J5:J10 I11 J12:J197" xr:uid="{00000000-0002-0000-0300-000003000000}">
      <formula1>"Single (not in relationship),Single (in relationship),Married,Other"</formula1>
    </dataValidation>
    <dataValidation type="list" allowBlank="1" sqref="K5:K10 J11 K12:K197" xr:uid="{00000000-0002-0000-0300-000005000000}">
      <formula1>"Secondary School,SSCE,Undergraduate,ND,HND,Bachelors Degree,Masters Degree,Doctorate Degree,Other"</formula1>
    </dataValidation>
    <dataValidation type="list" allowBlank="1" sqref="M5:M10 P5:P10 L11 O11 P12:P197 M12:M197" xr:uid="{00000000-0002-0000-0300-000006000000}">
      <formula1>"Yes,No"</formula1>
    </dataValidation>
    <dataValidation type="list" allowBlank="1" sqref="N5:N10 M11 N12:N197" xr:uid="{00000000-0002-0000-0300-000007000000}">
      <formula1>"Ambience Jewel,Atrium Church,Double Diamond,Follow Up,Freedom On Air,Freedom Studio,Light,Media,Members Relation,Power &amp; Sound,Sanctuary Keepers,Security,Skit Tribe,SWAT,Traffic Control,Vine"</formula1>
    </dataValidation>
    <dataValidation type="list" allowBlank="1" sqref="X5:X197" xr:uid="{00000000-0002-0000-0300-000004000000}">
      <formula1>"Active,Graduated,Deferred,Withdrawn,On Leave"</formula1>
    </dataValidation>
    <dataValidation type="list" allowBlank="1" sqref="W5:W197" xr:uid="{00000000-0002-0000-0300-000008000000}">
      <formula1>"Regular,Sunday Cohort"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'⚙️ Semester Setup'!$B$7:$B$22</xm:f>
          </x14:formula1>
          <xm:sqref>V5:V10 U11:V11 V12:V197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1"/>
  <sheetViews>
    <sheetView showGridLines="0" workbookViewId="0">
      <pane xSplit="3" ySplit="5" topLeftCell="D11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4.453125" defaultRowHeight="15" customHeight="1"/>
  <cols>
    <col min="1" max="1" width="22" customWidth="1"/>
    <col min="2" max="2" width="18" customWidth="1"/>
    <col min="3" max="3" width="15" customWidth="1"/>
    <col min="4" max="4" width="13" customWidth="1"/>
    <col min="5" max="5" width="16.81640625" customWidth="1"/>
    <col min="6" max="11" width="13" customWidth="1"/>
    <col min="12" max="12" width="14" customWidth="1"/>
    <col min="13" max="13" width="10" customWidth="1"/>
    <col min="14" max="14" width="4" customWidth="1"/>
    <col min="15" max="26" width="8.54296875" customWidth="1"/>
  </cols>
  <sheetData>
    <row r="1" spans="1:14" ht="30" customHeight="1">
      <c r="A1" s="178" t="s">
        <v>91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</row>
    <row r="2" spans="1:14" ht="15.75" customHeight="1">
      <c r="A2" s="169" t="s">
        <v>92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</row>
    <row r="3" spans="1:14" ht="15.75" customHeight="1">
      <c r="A3" s="220" t="s">
        <v>93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</row>
    <row r="4" spans="1:14" ht="19.5" customHeight="1">
      <c r="A4" s="48" t="s">
        <v>95</v>
      </c>
      <c r="B4" s="49"/>
      <c r="C4" s="49"/>
      <c r="D4" s="50">
        <v>5</v>
      </c>
      <c r="E4" s="50">
        <v>5</v>
      </c>
      <c r="F4" s="50">
        <v>5</v>
      </c>
      <c r="G4" s="50">
        <v>5</v>
      </c>
      <c r="H4" s="50">
        <v>5</v>
      </c>
      <c r="I4" s="50">
        <v>5</v>
      </c>
      <c r="J4" s="50">
        <v>5</v>
      </c>
      <c r="K4" s="50">
        <v>5</v>
      </c>
      <c r="L4" s="51">
        <v>40</v>
      </c>
      <c r="M4" s="52" t="s">
        <v>96</v>
      </c>
      <c r="N4" s="49"/>
    </row>
    <row r="5" spans="1:14" ht="27.75" customHeight="1">
      <c r="A5" s="1" t="s">
        <v>41</v>
      </c>
      <c r="B5" s="1" t="s">
        <v>43</v>
      </c>
      <c r="C5" s="1" t="s">
        <v>44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53" t="s">
        <v>104</v>
      </c>
      <c r="K5" s="53" t="s">
        <v>106</v>
      </c>
      <c r="L5" s="1" t="s">
        <v>108</v>
      </c>
      <c r="M5" s="1" t="s">
        <v>109</v>
      </c>
      <c r="N5" s="1"/>
    </row>
    <row r="6" spans="1:14" ht="18" customHeight="1">
      <c r="A6" s="54" t="s">
        <v>110</v>
      </c>
      <c r="B6" s="55" t="str">
        <f>IFERROR(VLOOKUP(A6,'👥 All Students'!$A:$C,2,0),"")</f>
        <v/>
      </c>
      <c r="C6" s="55" t="str">
        <f>IFERROR(VLOOKUP(A6,'👥 All Students'!$A:$C,3,0),"")</f>
        <v/>
      </c>
      <c r="D6" s="57"/>
      <c r="E6" s="57"/>
      <c r="F6" s="57"/>
      <c r="G6" s="57"/>
      <c r="H6" s="57"/>
      <c r="I6" s="57"/>
      <c r="J6" s="57"/>
      <c r="K6" s="57"/>
      <c r="L6" s="51" t="str">
        <f t="shared" ref="L6:L114" si="0">IF(COUNTA(D6:K6)=0,"",SUM(D6:K6))</f>
        <v/>
      </c>
      <c r="M6" s="60" t="str">
        <f t="shared" ref="M6:M114" si="1">IF(L6="","",TEXT(L6/40,"0%"))</f>
        <v/>
      </c>
      <c r="N6" s="8"/>
    </row>
    <row r="7" spans="1:14" ht="18" customHeight="1">
      <c r="A7" s="54" t="s">
        <v>71</v>
      </c>
      <c r="B7" s="61">
        <f>IFERROR(VLOOKUP(A7,'👥 All Students'!$A:$C,2,0),"")</f>
        <v>0</v>
      </c>
      <c r="C7" s="61">
        <f>IFERROR(VLOOKUP(A7,'👥 All Students'!$A:$C,3,0),"")</f>
        <v>0</v>
      </c>
      <c r="D7" s="63">
        <v>3.5</v>
      </c>
      <c r="E7" s="63">
        <v>3</v>
      </c>
      <c r="F7" s="63">
        <v>5</v>
      </c>
      <c r="G7" s="63">
        <v>4</v>
      </c>
      <c r="H7" s="63">
        <v>3.5</v>
      </c>
      <c r="I7" s="63">
        <v>5</v>
      </c>
      <c r="J7" s="63">
        <v>4</v>
      </c>
      <c r="K7" s="63">
        <v>5</v>
      </c>
      <c r="L7" s="65">
        <f t="shared" si="0"/>
        <v>33</v>
      </c>
      <c r="M7" s="66" t="str">
        <f t="shared" si="1"/>
        <v>83%</v>
      </c>
      <c r="N7" s="67"/>
    </row>
    <row r="8" spans="1:14" ht="18" customHeight="1">
      <c r="A8" s="54" t="s">
        <v>75</v>
      </c>
      <c r="B8" s="69">
        <f>IFERROR(VLOOKUP(A8,'👥 All Students'!$A:$C,2,0),"")</f>
        <v>0</v>
      </c>
      <c r="C8" s="69">
        <f>IFERROR(VLOOKUP(A8,'👥 All Students'!$A:$C,3,0),"")</f>
        <v>0</v>
      </c>
      <c r="D8" s="63">
        <v>5</v>
      </c>
      <c r="E8" s="63">
        <v>4.5</v>
      </c>
      <c r="F8" s="63">
        <v>4</v>
      </c>
      <c r="G8" s="63">
        <v>5</v>
      </c>
      <c r="H8" s="63">
        <v>4</v>
      </c>
      <c r="I8" s="63">
        <v>4</v>
      </c>
      <c r="J8" s="63">
        <v>4</v>
      </c>
      <c r="K8" s="63">
        <v>4</v>
      </c>
      <c r="L8" s="65">
        <f t="shared" si="0"/>
        <v>34.5</v>
      </c>
      <c r="M8" s="66" t="str">
        <f t="shared" si="1"/>
        <v>86%</v>
      </c>
      <c r="N8" s="70"/>
    </row>
    <row r="9" spans="1:14" ht="18" customHeight="1">
      <c r="A9" s="54" t="s">
        <v>81</v>
      </c>
      <c r="B9" s="61">
        <f>IFERROR(VLOOKUP(A9,'👥 All Students'!$A:$C,2,0),"")</f>
        <v>0</v>
      </c>
      <c r="C9" s="61">
        <f>IFERROR(VLOOKUP(A9,'👥 All Students'!$A:$C,3,0),"")</f>
        <v>0</v>
      </c>
      <c r="D9" s="63">
        <v>4.5</v>
      </c>
      <c r="E9" s="63">
        <v>3</v>
      </c>
      <c r="F9" s="63">
        <v>3</v>
      </c>
      <c r="G9" s="63">
        <v>5</v>
      </c>
      <c r="H9" s="63">
        <v>4.5</v>
      </c>
      <c r="I9" s="63">
        <v>4</v>
      </c>
      <c r="J9" s="63">
        <v>3.5</v>
      </c>
      <c r="K9" s="63">
        <v>5</v>
      </c>
      <c r="L9" s="65">
        <f t="shared" si="0"/>
        <v>32.5</v>
      </c>
      <c r="M9" s="66" t="str">
        <f t="shared" si="1"/>
        <v>81%</v>
      </c>
      <c r="N9" s="67"/>
    </row>
    <row r="10" spans="1:14" ht="18" customHeight="1">
      <c r="A10" s="54" t="s">
        <v>84</v>
      </c>
      <c r="B10" s="69">
        <f>IFERROR(VLOOKUP(A10,'👥 All Students'!$A:$C,2,0),"")</f>
        <v>0</v>
      </c>
      <c r="C10" s="69">
        <f>IFERROR(VLOOKUP(A10,'👥 All Students'!$A:$C,3,0),"")</f>
        <v>0</v>
      </c>
      <c r="D10" s="63">
        <v>4</v>
      </c>
      <c r="E10" s="63">
        <v>3.5</v>
      </c>
      <c r="F10" s="63">
        <v>1</v>
      </c>
      <c r="G10" s="63">
        <v>2</v>
      </c>
      <c r="H10" s="74"/>
      <c r="I10" s="74"/>
      <c r="J10" s="63">
        <v>3</v>
      </c>
      <c r="K10" s="63">
        <v>5</v>
      </c>
      <c r="L10" s="65">
        <f t="shared" si="0"/>
        <v>18.5</v>
      </c>
      <c r="M10" s="66" t="str">
        <f t="shared" si="1"/>
        <v>46%</v>
      </c>
      <c r="N10" s="70"/>
    </row>
    <row r="11" spans="1:14" ht="18" customHeight="1">
      <c r="A11" s="54" t="s">
        <v>86</v>
      </c>
      <c r="B11" s="61">
        <f>IFERROR(VLOOKUP(A11,'👥 All Students'!$A:$C,2,0),"")</f>
        <v>0</v>
      </c>
      <c r="C11" s="61">
        <f>IFERROR(VLOOKUP(A11,'👥 All Students'!$A:$C,3,0),"")</f>
        <v>0</v>
      </c>
      <c r="D11" s="63">
        <v>3.5</v>
      </c>
      <c r="E11" s="63">
        <v>3.5</v>
      </c>
      <c r="F11" s="63"/>
      <c r="G11" s="63"/>
      <c r="H11" s="74"/>
      <c r="I11" s="74"/>
      <c r="J11" s="74"/>
      <c r="K11" s="74"/>
      <c r="L11" s="65">
        <f t="shared" si="0"/>
        <v>7</v>
      </c>
      <c r="M11" s="66" t="str">
        <f t="shared" si="1"/>
        <v>18%</v>
      </c>
      <c r="N11" s="67"/>
    </row>
    <row r="12" spans="1:14" ht="18" customHeight="1">
      <c r="A12" s="54" t="s">
        <v>87</v>
      </c>
      <c r="B12" s="69">
        <f>IFERROR(VLOOKUP(A12,'👥 All Students'!$A:$C,2,0),"")</f>
        <v>0</v>
      </c>
      <c r="C12" s="69">
        <f>IFERROR(VLOOKUP(A12,'👥 All Students'!$A:$C,3,0),"")</f>
        <v>0</v>
      </c>
      <c r="D12" s="63">
        <v>4</v>
      </c>
      <c r="E12" s="63">
        <v>4</v>
      </c>
      <c r="F12" s="63">
        <v>4</v>
      </c>
      <c r="G12" s="63">
        <v>1</v>
      </c>
      <c r="H12" s="63">
        <v>2</v>
      </c>
      <c r="I12" s="63">
        <v>4</v>
      </c>
      <c r="J12" s="63">
        <v>4</v>
      </c>
      <c r="K12" s="63">
        <v>5</v>
      </c>
      <c r="L12" s="65">
        <f t="shared" si="0"/>
        <v>28</v>
      </c>
      <c r="M12" s="66" t="str">
        <f t="shared" si="1"/>
        <v>70%</v>
      </c>
      <c r="N12" s="70"/>
    </row>
    <row r="13" spans="1:14" ht="18" customHeight="1">
      <c r="A13" s="54" t="s">
        <v>88</v>
      </c>
      <c r="B13" s="61">
        <f>IFERROR(VLOOKUP(A13,'👥 All Students'!$A:$C,2,0),"")</f>
        <v>0</v>
      </c>
      <c r="C13" s="61">
        <f>IFERROR(VLOOKUP(A13,'👥 All Students'!$A:$C,3,0),"")</f>
        <v>0</v>
      </c>
      <c r="D13" s="63">
        <v>5</v>
      </c>
      <c r="E13" s="63">
        <v>4</v>
      </c>
      <c r="F13" s="63">
        <v>4</v>
      </c>
      <c r="G13" s="63">
        <v>4</v>
      </c>
      <c r="H13" s="63">
        <v>5</v>
      </c>
      <c r="I13" s="63">
        <v>3</v>
      </c>
      <c r="J13" s="63">
        <v>4</v>
      </c>
      <c r="K13" s="63">
        <v>5</v>
      </c>
      <c r="L13" s="65">
        <f t="shared" si="0"/>
        <v>34</v>
      </c>
      <c r="M13" s="66" t="str">
        <f t="shared" si="1"/>
        <v>85%</v>
      </c>
      <c r="N13" s="67"/>
    </row>
    <row r="14" spans="1:14" ht="18" customHeight="1">
      <c r="A14" s="54" t="s">
        <v>89</v>
      </c>
      <c r="B14" s="69">
        <f>IFERROR(VLOOKUP(A14,'👥 All Students'!$A:$C,2,0),"")</f>
        <v>0</v>
      </c>
      <c r="C14" s="69">
        <f>IFERROR(VLOOKUP(A14,'👥 All Students'!$A:$C,3,0),"")</f>
        <v>0</v>
      </c>
      <c r="D14" s="63">
        <v>5</v>
      </c>
      <c r="E14" s="63">
        <v>2.5</v>
      </c>
      <c r="F14" s="63">
        <v>3</v>
      </c>
      <c r="G14" s="63">
        <v>4</v>
      </c>
      <c r="H14" s="63">
        <v>2</v>
      </c>
      <c r="I14" s="63">
        <v>3</v>
      </c>
      <c r="J14" s="63">
        <v>2</v>
      </c>
      <c r="K14" s="63">
        <v>5</v>
      </c>
      <c r="L14" s="65">
        <f t="shared" si="0"/>
        <v>26.5</v>
      </c>
      <c r="M14" s="66" t="str">
        <f t="shared" si="1"/>
        <v>66%</v>
      </c>
      <c r="N14" s="70"/>
    </row>
    <row r="15" spans="1:14" ht="18" customHeight="1">
      <c r="A15" s="54" t="s">
        <v>94</v>
      </c>
      <c r="B15" s="61">
        <f>IFERROR(VLOOKUP(A15,'👥 All Students'!$A:$C,2,0),"")</f>
        <v>0</v>
      </c>
      <c r="C15" s="61">
        <f>IFERROR(VLOOKUP(A15,'👥 All Students'!$A:$C,3,0),"")</f>
        <v>0</v>
      </c>
      <c r="D15" s="63">
        <v>5</v>
      </c>
      <c r="E15" s="63">
        <v>5</v>
      </c>
      <c r="F15" s="63">
        <v>5</v>
      </c>
      <c r="G15" s="63">
        <v>5</v>
      </c>
      <c r="H15" s="63">
        <v>2.5</v>
      </c>
      <c r="I15" s="63">
        <v>2.5</v>
      </c>
      <c r="J15" s="63">
        <v>3</v>
      </c>
      <c r="K15" s="63">
        <v>5</v>
      </c>
      <c r="L15" s="65">
        <f t="shared" si="0"/>
        <v>33</v>
      </c>
      <c r="M15" s="66" t="str">
        <f t="shared" si="1"/>
        <v>83%</v>
      </c>
      <c r="N15" s="67"/>
    </row>
    <row r="16" spans="1:14" ht="18" customHeight="1">
      <c r="A16" s="54" t="s">
        <v>97</v>
      </c>
      <c r="B16" s="69">
        <f>IFERROR(VLOOKUP(A16,'👥 All Students'!$A:$C,2,0),"")</f>
        <v>0</v>
      </c>
      <c r="C16" s="69">
        <f>IFERROR(VLOOKUP(A16,'👥 All Students'!$A:$C,3,0),"")</f>
        <v>0</v>
      </c>
      <c r="D16" s="63">
        <v>4</v>
      </c>
      <c r="E16" s="63">
        <v>4.5</v>
      </c>
      <c r="F16" s="63">
        <v>4</v>
      </c>
      <c r="G16" s="63">
        <v>3.5</v>
      </c>
      <c r="H16" s="63">
        <v>4</v>
      </c>
      <c r="I16" s="63">
        <v>1</v>
      </c>
      <c r="J16" s="63">
        <v>3</v>
      </c>
      <c r="K16" s="63">
        <v>5</v>
      </c>
      <c r="L16" s="65">
        <f t="shared" si="0"/>
        <v>29</v>
      </c>
      <c r="M16" s="66" t="str">
        <f t="shared" si="1"/>
        <v>73%</v>
      </c>
      <c r="N16" s="70"/>
    </row>
    <row r="17" spans="1:14" ht="18" customHeight="1">
      <c r="A17" s="54" t="s">
        <v>111</v>
      </c>
      <c r="B17" s="61">
        <f>IFERROR(VLOOKUP(A17,'👥 All Students'!$A:$C,2,0),"")</f>
        <v>0</v>
      </c>
      <c r="C17" s="61">
        <f>IFERROR(VLOOKUP(A17,'👥 All Students'!$A:$C,3,0),"")</f>
        <v>0</v>
      </c>
      <c r="D17" s="63">
        <v>4.5</v>
      </c>
      <c r="E17" s="63">
        <v>4.5</v>
      </c>
      <c r="F17" s="63">
        <v>4</v>
      </c>
      <c r="G17" s="63">
        <v>4</v>
      </c>
      <c r="H17" s="63">
        <v>4</v>
      </c>
      <c r="I17" s="63">
        <v>3</v>
      </c>
      <c r="J17" s="63">
        <v>5</v>
      </c>
      <c r="K17" s="63">
        <v>5</v>
      </c>
      <c r="L17" s="65">
        <f t="shared" si="0"/>
        <v>34</v>
      </c>
      <c r="M17" s="66" t="str">
        <f t="shared" si="1"/>
        <v>85%</v>
      </c>
      <c r="N17" s="67"/>
    </row>
    <row r="18" spans="1:14" ht="15.75" customHeight="1">
      <c r="A18" s="54" t="s">
        <v>117</v>
      </c>
      <c r="B18" s="68">
        <f>IFERROR(VLOOKUP(A18,'👥 All Students'!$A:$C,2,0),"")</f>
        <v>0</v>
      </c>
      <c r="C18" s="68">
        <f>IFERROR(VLOOKUP(A18,'👥 All Students'!$A:$C,3,0),"")</f>
        <v>0</v>
      </c>
      <c r="D18" s="84">
        <v>5</v>
      </c>
      <c r="E18" s="84">
        <v>4.5</v>
      </c>
      <c r="F18" s="84">
        <v>4</v>
      </c>
      <c r="G18" s="84">
        <v>5</v>
      </c>
      <c r="H18" s="84">
        <v>3</v>
      </c>
      <c r="I18" s="84">
        <v>4</v>
      </c>
      <c r="J18" s="84">
        <v>3.5</v>
      </c>
      <c r="K18" s="84">
        <v>5</v>
      </c>
      <c r="L18" s="65">
        <f t="shared" si="0"/>
        <v>34</v>
      </c>
      <c r="M18" s="66" t="str">
        <f t="shared" si="1"/>
        <v>85%</v>
      </c>
      <c r="N18" s="70"/>
    </row>
    <row r="19" spans="1:14" ht="15.75" customHeight="1">
      <c r="A19" s="54" t="s">
        <v>124</v>
      </c>
      <c r="B19" s="62">
        <f>IFERROR(VLOOKUP(A19,'👥 All Students'!$A:$C,2,0),"")</f>
        <v>0</v>
      </c>
      <c r="C19" s="62">
        <f>IFERROR(VLOOKUP(A19,'👥 All Students'!$A:$C,3,0),"")</f>
        <v>0</v>
      </c>
      <c r="D19" s="84">
        <v>5</v>
      </c>
      <c r="E19" s="84">
        <v>4</v>
      </c>
      <c r="F19" s="84">
        <v>4</v>
      </c>
      <c r="G19" s="84">
        <v>5</v>
      </c>
      <c r="H19" s="84">
        <v>4</v>
      </c>
      <c r="I19" s="84">
        <v>4</v>
      </c>
      <c r="J19" s="84">
        <v>4.5</v>
      </c>
      <c r="K19" s="84">
        <v>5</v>
      </c>
      <c r="L19" s="65">
        <f t="shared" si="0"/>
        <v>35.5</v>
      </c>
      <c r="M19" s="66" t="str">
        <f t="shared" si="1"/>
        <v>89%</v>
      </c>
      <c r="N19" s="67"/>
    </row>
    <row r="20" spans="1:14" ht="15.75" customHeight="1">
      <c r="A20" s="54" t="s">
        <v>132</v>
      </c>
      <c r="B20" s="68">
        <f>IFERROR(VLOOKUP(A20,'👥 All Students'!$A:$C,2,0),"")</f>
        <v>0</v>
      </c>
      <c r="C20" s="68">
        <f>IFERROR(VLOOKUP(A20,'👥 All Students'!$A:$C,3,0),"")</f>
        <v>0</v>
      </c>
      <c r="D20" s="84">
        <v>1.5</v>
      </c>
      <c r="E20" s="84">
        <v>4</v>
      </c>
      <c r="F20" s="84">
        <v>4</v>
      </c>
      <c r="G20" s="84">
        <v>4</v>
      </c>
      <c r="H20" s="84">
        <v>4</v>
      </c>
      <c r="I20" s="84">
        <v>4</v>
      </c>
      <c r="J20" s="84">
        <v>2</v>
      </c>
      <c r="K20" s="84">
        <v>4.5</v>
      </c>
      <c r="L20" s="65">
        <f t="shared" si="0"/>
        <v>28</v>
      </c>
      <c r="M20" s="66" t="str">
        <f t="shared" si="1"/>
        <v>70%</v>
      </c>
      <c r="N20" s="70"/>
    </row>
    <row r="21" spans="1:14" ht="15.75" customHeight="1">
      <c r="A21" s="54" t="s">
        <v>143</v>
      </c>
      <c r="B21" s="62">
        <f>IFERROR(VLOOKUP(A21,'👥 All Students'!$A:$C,2,0),"")</f>
        <v>0</v>
      </c>
      <c r="C21" s="62">
        <f>IFERROR(VLOOKUP(A21,'👥 All Students'!$A:$C,3,0),"")</f>
        <v>0</v>
      </c>
      <c r="D21" s="84">
        <v>4.5</v>
      </c>
      <c r="E21" s="84">
        <v>4</v>
      </c>
      <c r="F21" s="84">
        <v>2</v>
      </c>
      <c r="G21" s="84">
        <v>4</v>
      </c>
      <c r="H21" s="84">
        <v>3</v>
      </c>
      <c r="I21" s="84">
        <v>3</v>
      </c>
      <c r="J21" s="84">
        <v>3</v>
      </c>
      <c r="K21" s="84">
        <v>5</v>
      </c>
      <c r="L21" s="65">
        <f t="shared" si="0"/>
        <v>28.5</v>
      </c>
      <c r="M21" s="66" t="str">
        <f t="shared" si="1"/>
        <v>71%</v>
      </c>
      <c r="N21" s="67"/>
    </row>
    <row r="22" spans="1:14" ht="15.75" customHeight="1">
      <c r="A22" s="54" t="s">
        <v>148</v>
      </c>
      <c r="B22" s="68">
        <f>IFERROR(VLOOKUP(A22,'👥 All Students'!$A:$C,2,0),"")</f>
        <v>0</v>
      </c>
      <c r="C22" s="68">
        <f>IFERROR(VLOOKUP(A22,'👥 All Students'!$A:$C,3,0),"")</f>
        <v>0</v>
      </c>
      <c r="D22" s="84">
        <v>4.5</v>
      </c>
      <c r="E22" s="84">
        <v>3</v>
      </c>
      <c r="F22" s="84">
        <v>5</v>
      </c>
      <c r="G22" s="84">
        <v>4</v>
      </c>
      <c r="H22" s="84">
        <v>3</v>
      </c>
      <c r="I22" s="84">
        <v>3.5</v>
      </c>
      <c r="J22" s="84">
        <v>2.5</v>
      </c>
      <c r="K22" s="84">
        <v>5</v>
      </c>
      <c r="L22" s="65">
        <f t="shared" si="0"/>
        <v>30.5</v>
      </c>
      <c r="M22" s="66" t="str">
        <f t="shared" si="1"/>
        <v>76%</v>
      </c>
      <c r="N22" s="70"/>
    </row>
    <row r="23" spans="1:14" ht="15.75" customHeight="1">
      <c r="A23" s="54" t="s">
        <v>150</v>
      </c>
      <c r="B23" s="62">
        <f>IFERROR(VLOOKUP(A23,'👥 All Students'!$A:$C,2,0),"")</f>
        <v>0</v>
      </c>
      <c r="C23" s="62">
        <f>IFERROR(VLOOKUP(A23,'👥 All Students'!$A:$C,3,0),"")</f>
        <v>0</v>
      </c>
      <c r="D23" s="84">
        <v>4</v>
      </c>
      <c r="E23" s="84">
        <v>3.5</v>
      </c>
      <c r="F23" s="84">
        <v>3</v>
      </c>
      <c r="G23" s="84">
        <v>4</v>
      </c>
      <c r="H23" s="84">
        <v>2.5</v>
      </c>
      <c r="I23" s="84">
        <v>3.5</v>
      </c>
      <c r="J23" s="84">
        <v>3</v>
      </c>
      <c r="K23" s="84">
        <v>5</v>
      </c>
      <c r="L23" s="65">
        <f t="shared" si="0"/>
        <v>28.5</v>
      </c>
      <c r="M23" s="66" t="str">
        <f t="shared" si="1"/>
        <v>71%</v>
      </c>
      <c r="N23" s="67"/>
    </row>
    <row r="24" spans="1:14" ht="15.75" customHeight="1">
      <c r="A24" s="54" t="s">
        <v>153</v>
      </c>
      <c r="B24" s="68">
        <f>IFERROR(VLOOKUP(A24,'👥 All Students'!$A:$C,2,0),"")</f>
        <v>0</v>
      </c>
      <c r="C24" s="68">
        <f>IFERROR(VLOOKUP(A24,'👥 All Students'!$A:$C,3,0),"")</f>
        <v>0</v>
      </c>
      <c r="D24" s="84">
        <v>5</v>
      </c>
      <c r="E24" s="84">
        <v>3</v>
      </c>
      <c r="F24" s="84">
        <v>5</v>
      </c>
      <c r="G24" s="84">
        <v>3</v>
      </c>
      <c r="H24" s="84">
        <v>3</v>
      </c>
      <c r="I24" s="84">
        <v>4</v>
      </c>
      <c r="J24" s="84">
        <v>3</v>
      </c>
      <c r="K24" s="84">
        <v>5</v>
      </c>
      <c r="L24" s="65">
        <f t="shared" si="0"/>
        <v>31</v>
      </c>
      <c r="M24" s="66" t="str">
        <f t="shared" si="1"/>
        <v>78%</v>
      </c>
      <c r="N24" s="70"/>
    </row>
    <row r="25" spans="1:14" ht="15.75" customHeight="1">
      <c r="A25" s="54" t="s">
        <v>154</v>
      </c>
      <c r="B25" s="62">
        <f>IFERROR(VLOOKUP(A25,'👥 All Students'!$A:$C,2,0),"")</f>
        <v>0</v>
      </c>
      <c r="C25" s="62">
        <f>IFERROR(VLOOKUP(A25,'👥 All Students'!$A:$C,3,0),"")</f>
        <v>0</v>
      </c>
      <c r="D25" s="84">
        <v>3.5</v>
      </c>
      <c r="E25" s="84">
        <v>2</v>
      </c>
      <c r="F25" s="84">
        <v>4</v>
      </c>
      <c r="G25" s="84">
        <v>1</v>
      </c>
      <c r="H25" s="84">
        <v>2</v>
      </c>
      <c r="I25" s="84">
        <v>3</v>
      </c>
      <c r="J25" s="84">
        <v>4</v>
      </c>
      <c r="K25" s="84">
        <v>5</v>
      </c>
      <c r="L25" s="65">
        <f t="shared" si="0"/>
        <v>24.5</v>
      </c>
      <c r="M25" s="66" t="str">
        <f t="shared" si="1"/>
        <v>61%</v>
      </c>
      <c r="N25" s="67"/>
    </row>
    <row r="26" spans="1:14" ht="15.75" customHeight="1">
      <c r="A26" s="54" t="s">
        <v>155</v>
      </c>
      <c r="B26" s="68">
        <f>IFERROR(VLOOKUP(A26,'👥 All Students'!$A:$C,2,0),"")</f>
        <v>0</v>
      </c>
      <c r="C26" s="68">
        <f>IFERROR(VLOOKUP(A26,'👥 All Students'!$A:$C,3,0),"")</f>
        <v>0</v>
      </c>
      <c r="D26" s="84">
        <v>4.5</v>
      </c>
      <c r="E26" s="84">
        <v>0</v>
      </c>
      <c r="F26" s="84">
        <v>4</v>
      </c>
      <c r="G26" s="84">
        <v>5</v>
      </c>
      <c r="H26" s="84">
        <v>4</v>
      </c>
      <c r="I26" s="84">
        <v>4</v>
      </c>
      <c r="J26" s="84">
        <v>4</v>
      </c>
      <c r="K26" s="84">
        <v>5</v>
      </c>
      <c r="L26" s="65">
        <f t="shared" si="0"/>
        <v>30.5</v>
      </c>
      <c r="M26" s="66" t="str">
        <f t="shared" si="1"/>
        <v>76%</v>
      </c>
      <c r="N26" s="70"/>
    </row>
    <row r="27" spans="1:14" ht="15.75" customHeight="1">
      <c r="A27" s="54" t="s">
        <v>156</v>
      </c>
      <c r="B27" s="62">
        <f>IFERROR(VLOOKUP(A27,'👥 All Students'!$A:$C,2,0),"")</f>
        <v>0</v>
      </c>
      <c r="C27" s="62">
        <f>IFERROR(VLOOKUP(A27,'👥 All Students'!$A:$C,3,0),"")</f>
        <v>0</v>
      </c>
      <c r="D27" s="84">
        <v>4</v>
      </c>
      <c r="E27" s="84">
        <v>2.5</v>
      </c>
      <c r="F27" s="84">
        <v>4</v>
      </c>
      <c r="G27" s="84">
        <v>3.5</v>
      </c>
      <c r="H27" s="84">
        <v>3</v>
      </c>
      <c r="I27" s="84">
        <v>4</v>
      </c>
      <c r="J27" s="84">
        <v>3</v>
      </c>
      <c r="K27" s="84">
        <v>4</v>
      </c>
      <c r="L27" s="65">
        <f t="shared" si="0"/>
        <v>28</v>
      </c>
      <c r="M27" s="66" t="str">
        <f t="shared" si="1"/>
        <v>70%</v>
      </c>
      <c r="N27" s="67"/>
    </row>
    <row r="28" spans="1:14" ht="15.75" customHeight="1">
      <c r="A28" s="54" t="s">
        <v>157</v>
      </c>
      <c r="B28" s="68">
        <f>IFERROR(VLOOKUP(A28,'👥 All Students'!$A:$C,2,0),"")</f>
        <v>0</v>
      </c>
      <c r="C28" s="68">
        <f>IFERROR(VLOOKUP(A28,'👥 All Students'!$A:$C,3,0),"")</f>
        <v>0</v>
      </c>
      <c r="D28" s="84">
        <v>4.5</v>
      </c>
      <c r="E28" s="84">
        <v>4</v>
      </c>
      <c r="F28" s="84">
        <v>4</v>
      </c>
      <c r="G28" s="84">
        <v>5</v>
      </c>
      <c r="H28" s="89"/>
      <c r="I28" s="89"/>
      <c r="J28" s="89"/>
      <c r="K28" s="89"/>
      <c r="L28" s="65">
        <f t="shared" si="0"/>
        <v>17.5</v>
      </c>
      <c r="M28" s="66" t="str">
        <f t="shared" si="1"/>
        <v>44%</v>
      </c>
      <c r="N28" s="70"/>
    </row>
    <row r="29" spans="1:14" ht="15.75" customHeight="1">
      <c r="A29" s="54" t="s">
        <v>158</v>
      </c>
      <c r="B29" s="62">
        <f>IFERROR(VLOOKUP(A29,'👥 All Students'!$A:$C,2,0),"")</f>
        <v>0</v>
      </c>
      <c r="C29" s="62">
        <f>IFERROR(VLOOKUP(A29,'👥 All Students'!$A:$C,3,0),"")</f>
        <v>0</v>
      </c>
      <c r="D29" s="84">
        <v>3.5</v>
      </c>
      <c r="E29" s="84">
        <v>2.5</v>
      </c>
      <c r="F29" s="84">
        <v>4</v>
      </c>
      <c r="G29" s="84">
        <v>5</v>
      </c>
      <c r="H29" s="84">
        <v>3</v>
      </c>
      <c r="I29" s="84">
        <v>4</v>
      </c>
      <c r="J29" s="84">
        <v>1.5</v>
      </c>
      <c r="K29" s="84">
        <v>5</v>
      </c>
      <c r="L29" s="65">
        <f t="shared" si="0"/>
        <v>28.5</v>
      </c>
      <c r="M29" s="66" t="str">
        <f t="shared" si="1"/>
        <v>71%</v>
      </c>
      <c r="N29" s="67"/>
    </row>
    <row r="30" spans="1:14" ht="15.75" customHeight="1">
      <c r="A30" s="54" t="s">
        <v>159</v>
      </c>
      <c r="B30" s="68">
        <f>IFERROR(VLOOKUP(A30,'👥 All Students'!$A:$C,2,0),"")</f>
        <v>0</v>
      </c>
      <c r="C30" s="68">
        <f>IFERROR(VLOOKUP(A30,'👥 All Students'!$A:$C,3,0),"")</f>
        <v>0</v>
      </c>
      <c r="D30" s="84">
        <v>5</v>
      </c>
      <c r="E30" s="84">
        <v>4</v>
      </c>
      <c r="F30" s="84">
        <v>5</v>
      </c>
      <c r="G30" s="84">
        <v>5</v>
      </c>
      <c r="H30" s="84">
        <v>4</v>
      </c>
      <c r="I30" s="84">
        <v>4</v>
      </c>
      <c r="J30" s="84">
        <v>3</v>
      </c>
      <c r="K30" s="84">
        <v>5</v>
      </c>
      <c r="L30" s="65">
        <f t="shared" si="0"/>
        <v>35</v>
      </c>
      <c r="M30" s="66" t="str">
        <f t="shared" si="1"/>
        <v>88%</v>
      </c>
      <c r="N30" s="70"/>
    </row>
    <row r="31" spans="1:14" ht="15.75" customHeight="1">
      <c r="A31" s="54" t="s">
        <v>208</v>
      </c>
      <c r="B31" s="62" t="str">
        <f>IFERROR(VLOOKUP(A31,'👥 All Students'!$A:$C,2,0),"")</f>
        <v/>
      </c>
      <c r="C31" s="62" t="str">
        <f>IFERROR(VLOOKUP(A31,'👥 All Students'!$A:$C,3,0),"")</f>
        <v/>
      </c>
      <c r="D31" s="89"/>
      <c r="E31" s="89"/>
      <c r="F31" s="89"/>
      <c r="G31" s="89"/>
      <c r="H31" s="89"/>
      <c r="I31" s="89"/>
      <c r="J31" s="89"/>
      <c r="K31" s="89"/>
      <c r="L31" s="65" t="str">
        <f t="shared" si="0"/>
        <v/>
      </c>
      <c r="M31" s="66" t="str">
        <f t="shared" si="1"/>
        <v/>
      </c>
      <c r="N31" s="67"/>
    </row>
    <row r="32" spans="1:14" ht="15.75" customHeight="1">
      <c r="A32" s="54" t="s">
        <v>160</v>
      </c>
      <c r="B32" s="68">
        <f>IFERROR(VLOOKUP(A32,'👥 All Students'!$A:$C,2,0),"")</f>
        <v>0</v>
      </c>
      <c r="C32" s="68">
        <f>IFERROR(VLOOKUP(A32,'👥 All Students'!$A:$C,3,0),"")</f>
        <v>0</v>
      </c>
      <c r="D32" s="84">
        <v>5</v>
      </c>
      <c r="E32" s="84">
        <v>5</v>
      </c>
      <c r="F32" s="84">
        <v>5</v>
      </c>
      <c r="G32" s="84">
        <v>5</v>
      </c>
      <c r="H32" s="84">
        <v>3</v>
      </c>
      <c r="I32" s="84">
        <v>4</v>
      </c>
      <c r="J32" s="84">
        <v>4</v>
      </c>
      <c r="K32" s="84">
        <v>5</v>
      </c>
      <c r="L32" s="65">
        <f t="shared" si="0"/>
        <v>36</v>
      </c>
      <c r="M32" s="66" t="str">
        <f t="shared" si="1"/>
        <v>90%</v>
      </c>
      <c r="N32" s="70"/>
    </row>
    <row r="33" spans="1:14" ht="15.75" customHeight="1">
      <c r="A33" s="54" t="s">
        <v>162</v>
      </c>
      <c r="B33" s="62">
        <f>IFERROR(VLOOKUP(A33,'👥 All Students'!$A:$C,2,0),"")</f>
        <v>0</v>
      </c>
      <c r="C33" s="62">
        <f>IFERROR(VLOOKUP(A33,'👥 All Students'!$A:$C,3,0),"")</f>
        <v>0</v>
      </c>
      <c r="D33" s="84">
        <v>5</v>
      </c>
      <c r="E33" s="84">
        <v>5</v>
      </c>
      <c r="F33" s="84">
        <v>4</v>
      </c>
      <c r="G33" s="84">
        <v>5</v>
      </c>
      <c r="H33" s="84">
        <v>3</v>
      </c>
      <c r="I33" s="84">
        <v>5</v>
      </c>
      <c r="J33" s="84">
        <v>4</v>
      </c>
      <c r="K33" s="84">
        <v>5</v>
      </c>
      <c r="L33" s="65">
        <f t="shared" si="0"/>
        <v>36</v>
      </c>
      <c r="M33" s="66" t="str">
        <f t="shared" si="1"/>
        <v>90%</v>
      </c>
      <c r="N33" s="67"/>
    </row>
    <row r="34" spans="1:14" ht="15.75" customHeight="1">
      <c r="A34" s="54" t="s">
        <v>166</v>
      </c>
      <c r="B34" s="68">
        <f>IFERROR(VLOOKUP(A34,'👥 All Students'!$A:$C,2,0),"")</f>
        <v>0</v>
      </c>
      <c r="C34" s="68">
        <f>IFERROR(VLOOKUP(A34,'👥 All Students'!$A:$C,3,0),"")</f>
        <v>0</v>
      </c>
      <c r="D34" s="84">
        <v>5</v>
      </c>
      <c r="E34" s="84">
        <v>3.5</v>
      </c>
      <c r="F34" s="84">
        <v>5</v>
      </c>
      <c r="G34" s="84">
        <v>5</v>
      </c>
      <c r="H34" s="84">
        <v>2</v>
      </c>
      <c r="I34" s="84">
        <v>4</v>
      </c>
      <c r="J34" s="84">
        <v>4</v>
      </c>
      <c r="K34" s="84">
        <v>5</v>
      </c>
      <c r="L34" s="65">
        <f t="shared" si="0"/>
        <v>33.5</v>
      </c>
      <c r="M34" s="66" t="str">
        <f t="shared" si="1"/>
        <v>84%</v>
      </c>
      <c r="N34" s="70"/>
    </row>
    <row r="35" spans="1:14" ht="15.75" customHeight="1">
      <c r="A35" s="54" t="s">
        <v>173</v>
      </c>
      <c r="B35" s="62">
        <f>IFERROR(VLOOKUP(A35,'👥 All Students'!$A:$C,2,0),"")</f>
        <v>0</v>
      </c>
      <c r="C35" s="62">
        <f>IFERROR(VLOOKUP(A35,'👥 All Students'!$A:$C,3,0),"")</f>
        <v>0</v>
      </c>
      <c r="D35" s="84">
        <v>4.5</v>
      </c>
      <c r="E35" s="84">
        <v>3</v>
      </c>
      <c r="F35" s="89"/>
      <c r="G35" s="89"/>
      <c r="H35" s="84">
        <v>4</v>
      </c>
      <c r="I35" s="84">
        <v>3</v>
      </c>
      <c r="J35" s="84">
        <v>4</v>
      </c>
      <c r="K35" s="84">
        <v>5</v>
      </c>
      <c r="L35" s="65">
        <f t="shared" si="0"/>
        <v>23.5</v>
      </c>
      <c r="M35" s="66" t="str">
        <f t="shared" si="1"/>
        <v>59%</v>
      </c>
      <c r="N35" s="67"/>
    </row>
    <row r="36" spans="1:14" ht="15.75" customHeight="1">
      <c r="A36" s="54" t="s">
        <v>175</v>
      </c>
      <c r="B36" s="68">
        <f>IFERROR(VLOOKUP(A36,'👥 All Students'!$A:$C,2,0),"")</f>
        <v>0</v>
      </c>
      <c r="C36" s="68">
        <f>IFERROR(VLOOKUP(A36,'👥 All Students'!$A:$C,3,0),"")</f>
        <v>0</v>
      </c>
      <c r="D36" s="84">
        <v>4</v>
      </c>
      <c r="E36" s="84">
        <v>4.5</v>
      </c>
      <c r="F36" s="84">
        <v>4</v>
      </c>
      <c r="G36" s="84">
        <v>4</v>
      </c>
      <c r="H36" s="84">
        <v>3</v>
      </c>
      <c r="I36" s="84">
        <v>4</v>
      </c>
      <c r="J36" s="84">
        <v>4</v>
      </c>
      <c r="K36" s="84">
        <v>5</v>
      </c>
      <c r="L36" s="65">
        <f t="shared" si="0"/>
        <v>32.5</v>
      </c>
      <c r="M36" s="66" t="str">
        <f t="shared" si="1"/>
        <v>81%</v>
      </c>
      <c r="N36" s="70"/>
    </row>
    <row r="37" spans="1:14" ht="15.75" customHeight="1">
      <c r="A37" s="54" t="s">
        <v>178</v>
      </c>
      <c r="B37" s="62">
        <f>IFERROR(VLOOKUP(A37,'👥 All Students'!$A:$C,2,0),"")</f>
        <v>0</v>
      </c>
      <c r="C37" s="62">
        <f>IFERROR(VLOOKUP(A37,'👥 All Students'!$A:$C,3,0),"")</f>
        <v>0</v>
      </c>
      <c r="D37" s="84">
        <v>4</v>
      </c>
      <c r="E37" s="84">
        <v>4</v>
      </c>
      <c r="F37" s="84">
        <v>2</v>
      </c>
      <c r="G37" s="84">
        <v>4</v>
      </c>
      <c r="H37" s="84">
        <v>3</v>
      </c>
      <c r="I37" s="84">
        <v>4</v>
      </c>
      <c r="J37" s="84">
        <v>3</v>
      </c>
      <c r="K37" s="84">
        <v>4.5</v>
      </c>
      <c r="L37" s="65">
        <f t="shared" si="0"/>
        <v>28.5</v>
      </c>
      <c r="M37" s="66" t="str">
        <f t="shared" si="1"/>
        <v>71%</v>
      </c>
      <c r="N37" s="67"/>
    </row>
    <row r="38" spans="1:14" ht="15.75" customHeight="1">
      <c r="A38" s="54" t="s">
        <v>179</v>
      </c>
      <c r="B38" s="68">
        <f>IFERROR(VLOOKUP(A38,'👥 All Students'!$A:$C,2,0),"")</f>
        <v>0</v>
      </c>
      <c r="C38" s="68">
        <f>IFERROR(VLOOKUP(A38,'👥 All Students'!$A:$C,3,0),"")</f>
        <v>0</v>
      </c>
      <c r="D38" s="84">
        <v>4</v>
      </c>
      <c r="E38" s="84">
        <v>3</v>
      </c>
      <c r="F38" s="84">
        <v>2</v>
      </c>
      <c r="G38" s="84">
        <v>4</v>
      </c>
      <c r="H38" s="84">
        <v>5</v>
      </c>
      <c r="I38" s="84">
        <v>4</v>
      </c>
      <c r="J38" s="84">
        <v>4</v>
      </c>
      <c r="K38" s="84">
        <v>5</v>
      </c>
      <c r="L38" s="65">
        <f t="shared" si="0"/>
        <v>31</v>
      </c>
      <c r="M38" s="66" t="str">
        <f t="shared" si="1"/>
        <v>78%</v>
      </c>
      <c r="N38" s="70"/>
    </row>
    <row r="39" spans="1:14" ht="15.75" customHeight="1">
      <c r="A39" s="54" t="s">
        <v>182</v>
      </c>
      <c r="B39" s="62">
        <f>IFERROR(VLOOKUP(A39,'👥 All Students'!$A:$C,2,0),"")</f>
        <v>0</v>
      </c>
      <c r="C39" s="62">
        <f>IFERROR(VLOOKUP(A39,'👥 All Students'!$A:$C,3,0),"")</f>
        <v>0</v>
      </c>
      <c r="D39" s="84">
        <v>5</v>
      </c>
      <c r="E39" s="84">
        <v>4.5</v>
      </c>
      <c r="F39" s="84">
        <v>5</v>
      </c>
      <c r="G39" s="84">
        <v>5</v>
      </c>
      <c r="H39" s="84">
        <v>4</v>
      </c>
      <c r="I39" s="84">
        <v>4</v>
      </c>
      <c r="J39" s="84">
        <v>5</v>
      </c>
      <c r="K39" s="84">
        <v>5</v>
      </c>
      <c r="L39" s="65">
        <f t="shared" si="0"/>
        <v>37.5</v>
      </c>
      <c r="M39" s="66" t="str">
        <f t="shared" si="1"/>
        <v>94%</v>
      </c>
      <c r="N39" s="67"/>
    </row>
    <row r="40" spans="1:14" ht="15.75" customHeight="1">
      <c r="A40" s="54" t="s">
        <v>185</v>
      </c>
      <c r="B40" s="68">
        <f>IFERROR(VLOOKUP(A40,'👥 All Students'!$A:$C,2,0),"")</f>
        <v>0</v>
      </c>
      <c r="C40" s="68">
        <f>IFERROR(VLOOKUP(A40,'👥 All Students'!$A:$C,3,0),"")</f>
        <v>0</v>
      </c>
      <c r="D40" s="84">
        <v>4.5</v>
      </c>
      <c r="E40" s="84">
        <v>3.5</v>
      </c>
      <c r="F40" s="84">
        <v>5</v>
      </c>
      <c r="G40" s="84">
        <v>5</v>
      </c>
      <c r="H40" s="84">
        <v>5</v>
      </c>
      <c r="I40" s="84">
        <v>4</v>
      </c>
      <c r="J40" s="84">
        <v>4.5</v>
      </c>
      <c r="K40" s="84">
        <v>5</v>
      </c>
      <c r="L40" s="65">
        <f t="shared" si="0"/>
        <v>36.5</v>
      </c>
      <c r="M40" s="66" t="str">
        <f t="shared" si="1"/>
        <v>91%</v>
      </c>
      <c r="N40" s="70"/>
    </row>
    <row r="41" spans="1:14" ht="15.75" customHeight="1">
      <c r="A41" s="54" t="s">
        <v>188</v>
      </c>
      <c r="B41" s="62">
        <f>IFERROR(VLOOKUP(A41,'👥 All Students'!$A:$C,2,0),"")</f>
        <v>0</v>
      </c>
      <c r="C41" s="62">
        <f>IFERROR(VLOOKUP(A41,'👥 All Students'!$A:$C,3,0),"")</f>
        <v>0</v>
      </c>
      <c r="D41" s="84">
        <v>4</v>
      </c>
      <c r="E41" s="84">
        <v>2</v>
      </c>
      <c r="F41" s="84">
        <v>2.5</v>
      </c>
      <c r="G41" s="84">
        <v>2</v>
      </c>
      <c r="H41" s="84">
        <v>4</v>
      </c>
      <c r="I41" s="84">
        <v>3</v>
      </c>
      <c r="J41" s="84">
        <v>1</v>
      </c>
      <c r="K41" s="84">
        <v>4</v>
      </c>
      <c r="L41" s="65">
        <f t="shared" si="0"/>
        <v>22.5</v>
      </c>
      <c r="M41" s="66" t="str">
        <f t="shared" si="1"/>
        <v>56%</v>
      </c>
      <c r="N41" s="67"/>
    </row>
    <row r="42" spans="1:14" ht="15.75" customHeight="1">
      <c r="A42" s="54" t="s">
        <v>189</v>
      </c>
      <c r="B42" s="68">
        <f>IFERROR(VLOOKUP(A42,'👥 All Students'!$A:$C,2,0),"")</f>
        <v>0</v>
      </c>
      <c r="C42" s="68">
        <f>IFERROR(VLOOKUP(A42,'👥 All Students'!$A:$C,3,0),"")</f>
        <v>0</v>
      </c>
      <c r="D42" s="84">
        <v>5</v>
      </c>
      <c r="E42" s="84">
        <v>4.5</v>
      </c>
      <c r="F42" s="84">
        <v>5</v>
      </c>
      <c r="G42" s="84">
        <v>4</v>
      </c>
      <c r="H42" s="84">
        <v>5</v>
      </c>
      <c r="I42" s="84">
        <v>5</v>
      </c>
      <c r="J42" s="84">
        <v>4</v>
      </c>
      <c r="K42" s="84">
        <v>5</v>
      </c>
      <c r="L42" s="65">
        <f t="shared" si="0"/>
        <v>37.5</v>
      </c>
      <c r="M42" s="66" t="str">
        <f t="shared" si="1"/>
        <v>94%</v>
      </c>
      <c r="N42" s="70"/>
    </row>
    <row r="43" spans="1:14" ht="15.75" customHeight="1">
      <c r="A43" s="54" t="s">
        <v>190</v>
      </c>
      <c r="B43" s="62">
        <f>IFERROR(VLOOKUP(A43,'👥 All Students'!$A:$C,2,0),"")</f>
        <v>0</v>
      </c>
      <c r="C43" s="62">
        <f>IFERROR(VLOOKUP(A43,'👥 All Students'!$A:$C,3,0),"")</f>
        <v>0</v>
      </c>
      <c r="D43" s="84">
        <v>3</v>
      </c>
      <c r="E43" s="84">
        <v>4</v>
      </c>
      <c r="F43" s="84">
        <v>1</v>
      </c>
      <c r="G43" s="84">
        <v>3</v>
      </c>
      <c r="H43" s="84">
        <v>4</v>
      </c>
      <c r="I43" s="84">
        <v>4</v>
      </c>
      <c r="J43" s="84">
        <v>4</v>
      </c>
      <c r="K43" s="84">
        <v>5</v>
      </c>
      <c r="L43" s="65">
        <f t="shared" si="0"/>
        <v>28</v>
      </c>
      <c r="M43" s="66" t="str">
        <f t="shared" si="1"/>
        <v>70%</v>
      </c>
      <c r="N43" s="67"/>
    </row>
    <row r="44" spans="1:14" ht="15.75" customHeight="1">
      <c r="A44" s="54" t="s">
        <v>191</v>
      </c>
      <c r="B44" s="68">
        <f>IFERROR(VLOOKUP(A44,'👥 All Students'!$A:$C,2,0),"")</f>
        <v>0</v>
      </c>
      <c r="C44" s="68">
        <f>IFERROR(VLOOKUP(A44,'👥 All Students'!$A:$C,3,0),"")</f>
        <v>0</v>
      </c>
      <c r="D44" s="84">
        <v>5</v>
      </c>
      <c r="E44" s="84">
        <v>2.5</v>
      </c>
      <c r="F44" s="84">
        <v>5</v>
      </c>
      <c r="G44" s="84">
        <v>4</v>
      </c>
      <c r="H44" s="84">
        <v>2</v>
      </c>
      <c r="I44" s="84">
        <v>3</v>
      </c>
      <c r="J44" s="84">
        <v>5</v>
      </c>
      <c r="K44" s="84">
        <v>5</v>
      </c>
      <c r="L44" s="65">
        <f t="shared" si="0"/>
        <v>31.5</v>
      </c>
      <c r="M44" s="66" t="str">
        <f t="shared" si="1"/>
        <v>79%</v>
      </c>
      <c r="N44" s="70"/>
    </row>
    <row r="45" spans="1:14" ht="15.75" customHeight="1">
      <c r="A45" s="54" t="s">
        <v>192</v>
      </c>
      <c r="B45" s="62">
        <f>IFERROR(VLOOKUP(A45,'👥 All Students'!$A:$C,2,0),"")</f>
        <v>0</v>
      </c>
      <c r="C45" s="62">
        <f>IFERROR(VLOOKUP(A45,'👥 All Students'!$A:$C,3,0),"")</f>
        <v>0</v>
      </c>
      <c r="D45" s="84">
        <v>3.5</v>
      </c>
      <c r="E45" s="84">
        <v>3.5</v>
      </c>
      <c r="F45" s="84">
        <v>4</v>
      </c>
      <c r="G45" s="84">
        <v>5</v>
      </c>
      <c r="H45" s="84">
        <v>3</v>
      </c>
      <c r="I45" s="84">
        <v>3</v>
      </c>
      <c r="J45" s="84">
        <v>4</v>
      </c>
      <c r="K45" s="84">
        <v>5</v>
      </c>
      <c r="L45" s="65">
        <f t="shared" si="0"/>
        <v>31</v>
      </c>
      <c r="M45" s="66" t="str">
        <f t="shared" si="1"/>
        <v>78%</v>
      </c>
      <c r="N45" s="67"/>
    </row>
    <row r="46" spans="1:14" ht="15.75" customHeight="1">
      <c r="A46" s="54" t="s">
        <v>193</v>
      </c>
      <c r="B46" s="68">
        <f>IFERROR(VLOOKUP(A46,'👥 All Students'!$A:$C,2,0),"")</f>
        <v>0</v>
      </c>
      <c r="C46" s="68">
        <f>IFERROR(VLOOKUP(A46,'👥 All Students'!$A:$C,3,0),"")</f>
        <v>0</v>
      </c>
      <c r="D46" s="84">
        <v>2.5</v>
      </c>
      <c r="E46" s="84">
        <v>1</v>
      </c>
      <c r="F46" s="84">
        <v>3</v>
      </c>
      <c r="G46" s="84">
        <v>1</v>
      </c>
      <c r="H46" s="84">
        <v>1</v>
      </c>
      <c r="I46" s="84">
        <v>1</v>
      </c>
      <c r="J46" s="84">
        <v>1.5</v>
      </c>
      <c r="K46" s="84">
        <v>4</v>
      </c>
      <c r="L46" s="65">
        <f t="shared" si="0"/>
        <v>15</v>
      </c>
      <c r="M46" s="66" t="str">
        <f t="shared" si="1"/>
        <v>38%</v>
      </c>
      <c r="N46" s="70"/>
    </row>
    <row r="47" spans="1:14" ht="15.75" customHeight="1">
      <c r="A47" s="54" t="s">
        <v>196</v>
      </c>
      <c r="B47" s="62">
        <f>IFERROR(VLOOKUP(A47,'👥 All Students'!$A:$C,2,0),"")</f>
        <v>0</v>
      </c>
      <c r="C47" s="62">
        <f>IFERROR(VLOOKUP(A47,'👥 All Students'!$A:$C,3,0),"")</f>
        <v>0</v>
      </c>
      <c r="D47" s="84">
        <v>4</v>
      </c>
      <c r="E47" s="84">
        <v>1</v>
      </c>
      <c r="F47" s="84">
        <v>5</v>
      </c>
      <c r="G47" s="84">
        <v>5</v>
      </c>
      <c r="H47" s="84">
        <v>2</v>
      </c>
      <c r="I47" s="84">
        <v>2.2000000000000002</v>
      </c>
      <c r="J47" s="84">
        <v>3</v>
      </c>
      <c r="K47" s="84">
        <v>4.5</v>
      </c>
      <c r="L47" s="65">
        <f t="shared" si="0"/>
        <v>26.7</v>
      </c>
      <c r="M47" s="66" t="str">
        <f t="shared" si="1"/>
        <v>67%</v>
      </c>
      <c r="N47" s="67"/>
    </row>
    <row r="48" spans="1:14" ht="15.75" customHeight="1">
      <c r="A48" s="54" t="s">
        <v>198</v>
      </c>
      <c r="B48" s="68">
        <f>IFERROR(VLOOKUP(A48,'👥 All Students'!$A:$C,2,0),"")</f>
        <v>0</v>
      </c>
      <c r="C48" s="68">
        <f>IFERROR(VLOOKUP(A48,'👥 All Students'!$A:$C,3,0),"")</f>
        <v>0</v>
      </c>
      <c r="D48" s="84">
        <v>3.5</v>
      </c>
      <c r="E48" s="84">
        <v>5</v>
      </c>
      <c r="F48" s="84">
        <v>4</v>
      </c>
      <c r="G48" s="84">
        <v>5</v>
      </c>
      <c r="H48" s="84">
        <v>1</v>
      </c>
      <c r="I48" s="84">
        <v>2</v>
      </c>
      <c r="J48" s="84">
        <v>2.5</v>
      </c>
      <c r="K48" s="84">
        <v>5</v>
      </c>
      <c r="L48" s="65">
        <f t="shared" si="0"/>
        <v>28</v>
      </c>
      <c r="M48" s="66" t="str">
        <f t="shared" si="1"/>
        <v>70%</v>
      </c>
      <c r="N48" s="70"/>
    </row>
    <row r="49" spans="1:14" ht="15.75" customHeight="1">
      <c r="A49" s="54" t="s">
        <v>201</v>
      </c>
      <c r="B49" s="62">
        <f>IFERROR(VLOOKUP(A49,'👥 All Students'!$A:$C,2,0),"")</f>
        <v>0</v>
      </c>
      <c r="C49" s="62">
        <f>IFERROR(VLOOKUP(A49,'👥 All Students'!$A:$C,3,0),"")</f>
        <v>0</v>
      </c>
      <c r="D49" s="84">
        <v>5</v>
      </c>
      <c r="E49" s="84">
        <v>3</v>
      </c>
      <c r="F49" s="84">
        <v>5</v>
      </c>
      <c r="G49" s="84">
        <v>4</v>
      </c>
      <c r="H49" s="84">
        <v>3</v>
      </c>
      <c r="I49" s="84">
        <v>2.5</v>
      </c>
      <c r="J49" s="84">
        <v>3</v>
      </c>
      <c r="K49" s="84">
        <v>5</v>
      </c>
      <c r="L49" s="65">
        <f t="shared" si="0"/>
        <v>30.5</v>
      </c>
      <c r="M49" s="66" t="str">
        <f t="shared" si="1"/>
        <v>76%</v>
      </c>
      <c r="N49" s="67"/>
    </row>
    <row r="50" spans="1:14" ht="15.75" customHeight="1">
      <c r="A50" s="54" t="s">
        <v>202</v>
      </c>
      <c r="B50" s="68">
        <f>IFERROR(VLOOKUP(A50,'👥 All Students'!$A:$C,2,0),"")</f>
        <v>0</v>
      </c>
      <c r="C50" s="68">
        <f>IFERROR(VLOOKUP(A50,'👥 All Students'!$A:$C,3,0),"")</f>
        <v>0</v>
      </c>
      <c r="D50" s="84">
        <v>4.5</v>
      </c>
      <c r="E50" s="84">
        <v>3</v>
      </c>
      <c r="F50" s="84">
        <v>3</v>
      </c>
      <c r="G50" s="84">
        <v>3</v>
      </c>
      <c r="H50" s="84">
        <v>3</v>
      </c>
      <c r="I50" s="84">
        <v>2.5</v>
      </c>
      <c r="J50" s="84">
        <v>5</v>
      </c>
      <c r="K50" s="84">
        <v>5</v>
      </c>
      <c r="L50" s="65">
        <f t="shared" si="0"/>
        <v>29</v>
      </c>
      <c r="M50" s="66" t="str">
        <f t="shared" si="1"/>
        <v>73%</v>
      </c>
      <c r="N50" s="70"/>
    </row>
    <row r="51" spans="1:14" ht="15.75" customHeight="1">
      <c r="A51" s="54" t="s">
        <v>203</v>
      </c>
      <c r="B51" s="62">
        <f>IFERROR(VLOOKUP(A51,'👥 All Students'!$A:$C,2,0),"")</f>
        <v>0</v>
      </c>
      <c r="C51" s="62">
        <f>IFERROR(VLOOKUP(A51,'👥 All Students'!$A:$C,3,0),"")</f>
        <v>0</v>
      </c>
      <c r="D51" s="84">
        <v>5</v>
      </c>
      <c r="E51" s="84">
        <v>4</v>
      </c>
      <c r="F51" s="84">
        <v>5</v>
      </c>
      <c r="G51" s="84">
        <v>5</v>
      </c>
      <c r="H51" s="84">
        <v>4</v>
      </c>
      <c r="I51" s="84">
        <v>4</v>
      </c>
      <c r="J51" s="84">
        <v>4.5</v>
      </c>
      <c r="K51" s="84">
        <v>5</v>
      </c>
      <c r="L51" s="65">
        <f t="shared" si="0"/>
        <v>36.5</v>
      </c>
      <c r="M51" s="66" t="str">
        <f t="shared" si="1"/>
        <v>91%</v>
      </c>
      <c r="N51" s="67"/>
    </row>
    <row r="52" spans="1:14" ht="15.75" customHeight="1">
      <c r="A52" s="54" t="s">
        <v>204</v>
      </c>
      <c r="B52" s="68">
        <f>IFERROR(VLOOKUP(A52,'👥 All Students'!$A:$C,2,0),"")</f>
        <v>0</v>
      </c>
      <c r="C52" s="68">
        <f>IFERROR(VLOOKUP(A52,'👥 All Students'!$A:$C,3,0),"")</f>
        <v>0</v>
      </c>
      <c r="D52" s="84">
        <v>5</v>
      </c>
      <c r="E52" s="84">
        <v>3.5</v>
      </c>
      <c r="F52" s="84">
        <v>4</v>
      </c>
      <c r="G52" s="84">
        <v>5</v>
      </c>
      <c r="H52" s="84">
        <v>3</v>
      </c>
      <c r="I52" s="84">
        <v>4</v>
      </c>
      <c r="J52" s="84">
        <v>5</v>
      </c>
      <c r="K52" s="84">
        <v>4.5</v>
      </c>
      <c r="L52" s="65">
        <f t="shared" si="0"/>
        <v>34</v>
      </c>
      <c r="M52" s="66" t="str">
        <f t="shared" si="1"/>
        <v>85%</v>
      </c>
      <c r="N52" s="70"/>
    </row>
    <row r="53" spans="1:14" ht="15.75" customHeight="1">
      <c r="A53" s="54" t="s">
        <v>205</v>
      </c>
      <c r="B53" s="62">
        <f>IFERROR(VLOOKUP(A53,'👥 All Students'!$A:$C,2,0),"")</f>
        <v>0</v>
      </c>
      <c r="C53" s="62">
        <f>IFERROR(VLOOKUP(A53,'👥 All Students'!$A:$C,3,0),"")</f>
        <v>0</v>
      </c>
      <c r="D53" s="84">
        <v>5</v>
      </c>
      <c r="E53" s="84">
        <v>4</v>
      </c>
      <c r="F53" s="84">
        <v>5</v>
      </c>
      <c r="G53" s="84">
        <v>4</v>
      </c>
      <c r="H53" s="89"/>
      <c r="I53" s="89"/>
      <c r="J53" s="89"/>
      <c r="K53" s="89"/>
      <c r="L53" s="65">
        <f t="shared" si="0"/>
        <v>18</v>
      </c>
      <c r="M53" s="66" t="str">
        <f t="shared" si="1"/>
        <v>45%</v>
      </c>
      <c r="N53" s="67"/>
    </row>
    <row r="54" spans="1:14" ht="15.75" customHeight="1">
      <c r="A54" s="54" t="s">
        <v>206</v>
      </c>
      <c r="B54" s="68">
        <f>IFERROR(VLOOKUP(A54,'👥 All Students'!$A:$C,2,0),"")</f>
        <v>0</v>
      </c>
      <c r="C54" s="68">
        <f>IFERROR(VLOOKUP(A54,'👥 All Students'!$A:$C,3,0),"")</f>
        <v>0</v>
      </c>
      <c r="D54" s="84">
        <v>5</v>
      </c>
      <c r="E54" s="84">
        <v>4</v>
      </c>
      <c r="F54" s="84">
        <v>4</v>
      </c>
      <c r="G54" s="84">
        <v>5</v>
      </c>
      <c r="H54" s="84">
        <v>3</v>
      </c>
      <c r="I54" s="84">
        <v>2.5</v>
      </c>
      <c r="J54" s="84">
        <v>2.5</v>
      </c>
      <c r="K54" s="84">
        <v>4</v>
      </c>
      <c r="L54" s="65">
        <f t="shared" si="0"/>
        <v>30</v>
      </c>
      <c r="M54" s="66" t="str">
        <f t="shared" si="1"/>
        <v>75%</v>
      </c>
      <c r="N54" s="70"/>
    </row>
    <row r="55" spans="1:14" ht="15.75" customHeight="1">
      <c r="A55" s="54" t="s">
        <v>207</v>
      </c>
      <c r="B55" s="62">
        <f>IFERROR(VLOOKUP(A55,'👥 All Students'!$A:$C,2,0),"")</f>
        <v>0</v>
      </c>
      <c r="C55" s="62">
        <f>IFERROR(VLOOKUP(A55,'👥 All Students'!$A:$C,3,0),"")</f>
        <v>0</v>
      </c>
      <c r="D55" s="84">
        <v>5</v>
      </c>
      <c r="E55" s="84">
        <v>4.5</v>
      </c>
      <c r="F55" s="84">
        <v>5</v>
      </c>
      <c r="G55" s="84">
        <v>4</v>
      </c>
      <c r="H55" s="84">
        <v>3</v>
      </c>
      <c r="I55" s="84">
        <v>3</v>
      </c>
      <c r="J55" s="84">
        <v>4</v>
      </c>
      <c r="K55" s="84">
        <v>5</v>
      </c>
      <c r="L55" s="65">
        <f t="shared" si="0"/>
        <v>33.5</v>
      </c>
      <c r="M55" s="66" t="str">
        <f t="shared" si="1"/>
        <v>84%</v>
      </c>
      <c r="N55" s="67"/>
    </row>
    <row r="56" spans="1:14" ht="15.75" customHeight="1">
      <c r="A56" s="54" t="s">
        <v>209</v>
      </c>
      <c r="B56" s="68">
        <f>IFERROR(VLOOKUP(A56,'👥 All Students'!$A:$C,2,0),"")</f>
        <v>0</v>
      </c>
      <c r="C56" s="68">
        <f>IFERROR(VLOOKUP(A56,'👥 All Students'!$A:$C,3,0),"")</f>
        <v>0</v>
      </c>
      <c r="D56" s="84">
        <v>4.5</v>
      </c>
      <c r="E56" s="84">
        <v>4</v>
      </c>
      <c r="F56" s="84">
        <v>5</v>
      </c>
      <c r="G56" s="84">
        <v>5</v>
      </c>
      <c r="H56" s="84">
        <v>3</v>
      </c>
      <c r="I56" s="84">
        <v>3</v>
      </c>
      <c r="J56" s="84">
        <v>3.5</v>
      </c>
      <c r="K56" s="84">
        <v>5</v>
      </c>
      <c r="L56" s="65">
        <f t="shared" si="0"/>
        <v>33</v>
      </c>
      <c r="M56" s="66" t="str">
        <f t="shared" si="1"/>
        <v>83%</v>
      </c>
      <c r="N56" s="70"/>
    </row>
    <row r="57" spans="1:14" ht="15.75" customHeight="1">
      <c r="A57" s="54" t="s">
        <v>242</v>
      </c>
      <c r="B57" s="62" t="str">
        <f>IFERROR(VLOOKUP(A57,'👥 All Students'!$A:$C,2,0),"")</f>
        <v/>
      </c>
      <c r="C57" s="62" t="str">
        <f>IFERROR(VLOOKUP(A57,'👥 All Students'!$A:$C,3,0),"")</f>
        <v/>
      </c>
      <c r="D57" s="89"/>
      <c r="E57" s="89"/>
      <c r="F57" s="89"/>
      <c r="G57" s="89"/>
      <c r="H57" s="89"/>
      <c r="I57" s="89"/>
      <c r="J57" s="89"/>
      <c r="K57" s="89"/>
      <c r="L57" s="65" t="str">
        <f t="shared" si="0"/>
        <v/>
      </c>
      <c r="M57" s="66" t="str">
        <f t="shared" si="1"/>
        <v/>
      </c>
      <c r="N57" s="67"/>
    </row>
    <row r="58" spans="1:14" ht="15.75" customHeight="1">
      <c r="A58" s="54" t="s">
        <v>210</v>
      </c>
      <c r="B58" s="68">
        <f>IFERROR(VLOOKUP(A58,'👥 All Students'!$A:$C,2,0),"")</f>
        <v>0</v>
      </c>
      <c r="C58" s="68">
        <f>IFERROR(VLOOKUP(A58,'👥 All Students'!$A:$C,3,0),"")</f>
        <v>0</v>
      </c>
      <c r="D58" s="84">
        <v>4</v>
      </c>
      <c r="E58" s="84">
        <v>4</v>
      </c>
      <c r="F58" s="84">
        <v>5</v>
      </c>
      <c r="G58" s="84">
        <v>4</v>
      </c>
      <c r="H58" s="84">
        <v>3</v>
      </c>
      <c r="I58" s="84">
        <v>3</v>
      </c>
      <c r="J58" s="84">
        <v>2</v>
      </c>
      <c r="K58" s="84">
        <v>5</v>
      </c>
      <c r="L58" s="65">
        <f t="shared" si="0"/>
        <v>30</v>
      </c>
      <c r="M58" s="66" t="str">
        <f t="shared" si="1"/>
        <v>75%</v>
      </c>
      <c r="N58" s="70"/>
    </row>
    <row r="59" spans="1:14" ht="15.75" customHeight="1">
      <c r="A59" s="54" t="s">
        <v>211</v>
      </c>
      <c r="B59" s="62">
        <f>IFERROR(VLOOKUP(A59,'👥 All Students'!$A:$C,2,0),"")</f>
        <v>0</v>
      </c>
      <c r="C59" s="62">
        <f>IFERROR(VLOOKUP(A59,'👥 All Students'!$A:$C,3,0),"")</f>
        <v>0</v>
      </c>
      <c r="D59" s="84">
        <v>1</v>
      </c>
      <c r="E59" s="84">
        <v>2</v>
      </c>
      <c r="F59" s="84">
        <v>2</v>
      </c>
      <c r="G59" s="84">
        <v>1</v>
      </c>
      <c r="H59" s="89"/>
      <c r="I59" s="89"/>
      <c r="J59" s="89"/>
      <c r="K59" s="89"/>
      <c r="L59" s="65">
        <f t="shared" si="0"/>
        <v>6</v>
      </c>
      <c r="M59" s="66" t="str">
        <f t="shared" si="1"/>
        <v>15%</v>
      </c>
      <c r="N59" s="67"/>
    </row>
    <row r="60" spans="1:14" ht="15.75" customHeight="1">
      <c r="A60" s="54" t="s">
        <v>212</v>
      </c>
      <c r="B60" s="68">
        <f>IFERROR(VLOOKUP(A60,'👥 All Students'!$A:$C,2,0),"")</f>
        <v>0</v>
      </c>
      <c r="C60" s="68">
        <f>IFERROR(VLOOKUP(A60,'👥 All Students'!$A:$C,3,0),"")</f>
        <v>0</v>
      </c>
      <c r="D60" s="84">
        <v>3</v>
      </c>
      <c r="E60" s="84">
        <v>4.5</v>
      </c>
      <c r="F60" s="84">
        <v>5</v>
      </c>
      <c r="G60" s="84">
        <v>2</v>
      </c>
      <c r="H60" s="84">
        <v>3</v>
      </c>
      <c r="I60" s="84">
        <v>4</v>
      </c>
      <c r="J60" s="84">
        <v>3</v>
      </c>
      <c r="K60" s="84">
        <v>5</v>
      </c>
      <c r="L60" s="65">
        <f t="shared" si="0"/>
        <v>29.5</v>
      </c>
      <c r="M60" s="66" t="str">
        <f t="shared" si="1"/>
        <v>74%</v>
      </c>
      <c r="N60" s="70"/>
    </row>
    <row r="61" spans="1:14" ht="15.75" customHeight="1">
      <c r="A61" s="54" t="s">
        <v>213</v>
      </c>
      <c r="B61" s="62">
        <f>IFERROR(VLOOKUP(A61,'👥 All Students'!$A:$C,2,0),"")</f>
        <v>0</v>
      </c>
      <c r="C61" s="62">
        <f>IFERROR(VLOOKUP(A61,'👥 All Students'!$A:$C,3,0),"")</f>
        <v>0</v>
      </c>
      <c r="D61" s="84">
        <v>5</v>
      </c>
      <c r="E61" s="84">
        <v>3.5</v>
      </c>
      <c r="F61" s="84">
        <v>5</v>
      </c>
      <c r="G61" s="84">
        <v>5</v>
      </c>
      <c r="H61" s="84">
        <v>4</v>
      </c>
      <c r="I61" s="84">
        <v>5</v>
      </c>
      <c r="J61" s="84">
        <v>4</v>
      </c>
      <c r="K61" s="84">
        <v>5</v>
      </c>
      <c r="L61" s="65">
        <f t="shared" si="0"/>
        <v>36.5</v>
      </c>
      <c r="M61" s="66" t="str">
        <f t="shared" si="1"/>
        <v>91%</v>
      </c>
      <c r="N61" s="67"/>
    </row>
    <row r="62" spans="1:14" ht="15.75" customHeight="1">
      <c r="A62" s="54" t="s">
        <v>214</v>
      </c>
      <c r="B62" s="68" t="str">
        <f>IFERROR(VLOOKUP(A62,'👥 All Students'!$A:$C,2,0),"")</f>
        <v/>
      </c>
      <c r="C62" s="68" t="str">
        <f>IFERROR(VLOOKUP(A62,'👥 All Students'!$A:$C,3,0),"")</f>
        <v/>
      </c>
      <c r="D62" s="84">
        <v>3</v>
      </c>
      <c r="E62" s="84">
        <v>1.5</v>
      </c>
      <c r="F62" s="84">
        <v>5</v>
      </c>
      <c r="G62" s="84">
        <v>5</v>
      </c>
      <c r="H62" s="84">
        <v>3</v>
      </c>
      <c r="I62" s="84">
        <v>3</v>
      </c>
      <c r="J62" s="84">
        <v>3</v>
      </c>
      <c r="K62" s="84">
        <v>4</v>
      </c>
      <c r="L62" s="65">
        <f t="shared" si="0"/>
        <v>27.5</v>
      </c>
      <c r="M62" s="66" t="str">
        <f t="shared" si="1"/>
        <v>69%</v>
      </c>
      <c r="N62" s="70"/>
    </row>
    <row r="63" spans="1:14" ht="15.75" customHeight="1">
      <c r="A63" s="54" t="s">
        <v>215</v>
      </c>
      <c r="B63" s="62" t="str">
        <f>IFERROR(VLOOKUP(A63,'👥 All Students'!$A:$C,2,0),"")</f>
        <v/>
      </c>
      <c r="C63" s="62" t="str">
        <f>IFERROR(VLOOKUP(A63,'👥 All Students'!$A:$C,3,0),"")</f>
        <v/>
      </c>
      <c r="D63" s="84">
        <v>4</v>
      </c>
      <c r="E63" s="84">
        <v>4</v>
      </c>
      <c r="F63" s="84">
        <v>4</v>
      </c>
      <c r="G63" s="84">
        <v>4</v>
      </c>
      <c r="H63" s="84">
        <v>4</v>
      </c>
      <c r="I63" s="84">
        <v>3</v>
      </c>
      <c r="J63" s="84">
        <v>4</v>
      </c>
      <c r="K63" s="84">
        <v>5</v>
      </c>
      <c r="L63" s="65">
        <f t="shared" si="0"/>
        <v>32</v>
      </c>
      <c r="M63" s="66" t="str">
        <f t="shared" si="1"/>
        <v>80%</v>
      </c>
      <c r="N63" s="67"/>
    </row>
    <row r="64" spans="1:14" ht="15.75" customHeight="1">
      <c r="A64" s="54" t="s">
        <v>216</v>
      </c>
      <c r="B64" s="68" t="str">
        <f>IFERROR(VLOOKUP(A64,'👥 All Students'!$A:$C,2,0),"")</f>
        <v/>
      </c>
      <c r="C64" s="68" t="str">
        <f>IFERROR(VLOOKUP(A64,'👥 All Students'!$A:$C,3,0),"")</f>
        <v/>
      </c>
      <c r="D64" s="84">
        <v>5</v>
      </c>
      <c r="E64" s="84">
        <v>3.5</v>
      </c>
      <c r="F64" s="84">
        <v>4</v>
      </c>
      <c r="G64" s="84">
        <v>4</v>
      </c>
      <c r="H64" s="84">
        <v>3.5</v>
      </c>
      <c r="I64" s="84">
        <v>3.5</v>
      </c>
      <c r="J64" s="84">
        <v>4</v>
      </c>
      <c r="K64" s="84">
        <v>5</v>
      </c>
      <c r="L64" s="65">
        <f t="shared" si="0"/>
        <v>32.5</v>
      </c>
      <c r="M64" s="66" t="str">
        <f t="shared" si="1"/>
        <v>81%</v>
      </c>
      <c r="N64" s="70"/>
    </row>
    <row r="65" spans="1:14" ht="15.75" customHeight="1">
      <c r="A65" s="54" t="s">
        <v>220</v>
      </c>
      <c r="B65" s="62" t="str">
        <f>IFERROR(VLOOKUP(A65,'👥 All Students'!$A:$C,2,0),"")</f>
        <v/>
      </c>
      <c r="C65" s="62" t="str">
        <f>IFERROR(VLOOKUP(A65,'👥 All Students'!$A:$C,3,0),"")</f>
        <v/>
      </c>
      <c r="D65" s="84">
        <v>5</v>
      </c>
      <c r="E65" s="84">
        <v>4</v>
      </c>
      <c r="F65" s="84">
        <v>3</v>
      </c>
      <c r="G65" s="84">
        <v>5</v>
      </c>
      <c r="H65" s="84">
        <v>2</v>
      </c>
      <c r="I65" s="84">
        <v>4</v>
      </c>
      <c r="J65" s="84">
        <v>4</v>
      </c>
      <c r="K65" s="84">
        <v>5</v>
      </c>
      <c r="L65" s="65">
        <f t="shared" si="0"/>
        <v>32</v>
      </c>
      <c r="M65" s="66" t="str">
        <f t="shared" si="1"/>
        <v>80%</v>
      </c>
      <c r="N65" s="67"/>
    </row>
    <row r="66" spans="1:14" ht="15.75" customHeight="1">
      <c r="A66" s="54" t="s">
        <v>226</v>
      </c>
      <c r="B66" s="68" t="str">
        <f>IFERROR(VLOOKUP(A66,'👥 All Students'!$A:$C,2,0),"")</f>
        <v/>
      </c>
      <c r="C66" s="68" t="str">
        <f>IFERROR(VLOOKUP(A66,'👥 All Students'!$A:$C,3,0),"")</f>
        <v/>
      </c>
      <c r="D66" s="84">
        <v>5</v>
      </c>
      <c r="E66" s="84">
        <v>5</v>
      </c>
      <c r="F66" s="84">
        <v>5</v>
      </c>
      <c r="G66" s="84">
        <v>5</v>
      </c>
      <c r="H66" s="84">
        <v>3</v>
      </c>
      <c r="I66" s="84">
        <v>4</v>
      </c>
      <c r="J66" s="84">
        <v>4</v>
      </c>
      <c r="K66" s="84">
        <v>5</v>
      </c>
      <c r="L66" s="65">
        <f t="shared" si="0"/>
        <v>36</v>
      </c>
      <c r="M66" s="66" t="str">
        <f t="shared" si="1"/>
        <v>90%</v>
      </c>
      <c r="N66" s="70"/>
    </row>
    <row r="67" spans="1:14" ht="15.75" customHeight="1">
      <c r="A67" s="54" t="s">
        <v>229</v>
      </c>
      <c r="B67" s="62" t="str">
        <f>IFERROR(VLOOKUP(A67,'👥 All Students'!$A:$C,2,0),"")</f>
        <v/>
      </c>
      <c r="C67" s="62" t="str">
        <f>IFERROR(VLOOKUP(A67,'👥 All Students'!$A:$C,3,0),"")</f>
        <v/>
      </c>
      <c r="D67" s="84">
        <v>5</v>
      </c>
      <c r="E67" s="84">
        <v>2</v>
      </c>
      <c r="F67" s="84">
        <v>5</v>
      </c>
      <c r="G67" s="84">
        <v>5</v>
      </c>
      <c r="H67" s="84">
        <v>2</v>
      </c>
      <c r="I67" s="84">
        <v>2</v>
      </c>
      <c r="J67" s="84">
        <v>4</v>
      </c>
      <c r="K67" s="84">
        <v>5</v>
      </c>
      <c r="L67" s="65">
        <f t="shared" si="0"/>
        <v>30</v>
      </c>
      <c r="M67" s="66" t="str">
        <f t="shared" si="1"/>
        <v>75%</v>
      </c>
      <c r="N67" s="67"/>
    </row>
    <row r="68" spans="1:14" ht="15.75" customHeight="1">
      <c r="A68" s="54" t="s">
        <v>230</v>
      </c>
      <c r="B68" s="68" t="str">
        <f>IFERROR(VLOOKUP(A68,'👥 All Students'!$A:$C,2,0),"")</f>
        <v/>
      </c>
      <c r="C68" s="68" t="str">
        <f>IFERROR(VLOOKUP(A68,'👥 All Students'!$A:$C,3,0),"")</f>
        <v/>
      </c>
      <c r="D68" s="84">
        <v>4.5</v>
      </c>
      <c r="E68" s="84">
        <v>4.5</v>
      </c>
      <c r="F68" s="84">
        <v>5</v>
      </c>
      <c r="G68" s="84">
        <v>5</v>
      </c>
      <c r="H68" s="84">
        <v>1</v>
      </c>
      <c r="I68" s="84">
        <v>3</v>
      </c>
      <c r="J68" s="84">
        <v>5</v>
      </c>
      <c r="K68" s="84">
        <v>4</v>
      </c>
      <c r="L68" s="65">
        <f t="shared" si="0"/>
        <v>32</v>
      </c>
      <c r="M68" s="66" t="str">
        <f t="shared" si="1"/>
        <v>80%</v>
      </c>
      <c r="N68" s="70"/>
    </row>
    <row r="69" spans="1:14" ht="15.75" customHeight="1">
      <c r="A69" s="54" t="s">
        <v>252</v>
      </c>
      <c r="B69" s="62" t="str">
        <f>IFERROR(VLOOKUP(A69,'👥 All Students'!$A:$C,2,0),"")</f>
        <v/>
      </c>
      <c r="C69" s="62" t="str">
        <f>IFERROR(VLOOKUP(A69,'👥 All Students'!$A:$C,3,0),"")</f>
        <v/>
      </c>
      <c r="D69" s="84"/>
      <c r="E69" s="84"/>
      <c r="F69" s="89"/>
      <c r="G69" s="89"/>
      <c r="H69" s="89"/>
      <c r="I69" s="89"/>
      <c r="J69" s="89"/>
      <c r="K69" s="89"/>
      <c r="L69" s="65" t="str">
        <f t="shared" si="0"/>
        <v/>
      </c>
      <c r="M69" s="66" t="str">
        <f t="shared" si="1"/>
        <v/>
      </c>
      <c r="N69" s="67"/>
    </row>
    <row r="70" spans="1:14" ht="15.75" customHeight="1">
      <c r="A70" s="54" t="s">
        <v>232</v>
      </c>
      <c r="B70" s="68">
        <f>IFERROR(VLOOKUP(A70,'👥 All Students'!$A:$C,2,0),"")</f>
        <v>0</v>
      </c>
      <c r="C70" s="68">
        <f>IFERROR(VLOOKUP(A70,'👥 All Students'!$A:$C,3,0),"")</f>
        <v>0</v>
      </c>
      <c r="D70" s="84">
        <v>3</v>
      </c>
      <c r="E70" s="84">
        <v>3</v>
      </c>
      <c r="F70" s="84">
        <v>4</v>
      </c>
      <c r="G70" s="84">
        <v>4</v>
      </c>
      <c r="H70" s="84">
        <v>1</v>
      </c>
      <c r="I70" s="84">
        <v>1</v>
      </c>
      <c r="J70" s="89"/>
      <c r="K70" s="89"/>
      <c r="L70" s="65">
        <f t="shared" si="0"/>
        <v>16</v>
      </c>
      <c r="M70" s="66" t="str">
        <f t="shared" si="1"/>
        <v>40%</v>
      </c>
      <c r="N70" s="70"/>
    </row>
    <row r="71" spans="1:14" ht="15.75" customHeight="1">
      <c r="A71" s="54" t="s">
        <v>254</v>
      </c>
      <c r="B71" s="62" t="str">
        <f>IFERROR(VLOOKUP(A71,'👥 All Students'!$A:$C,2,0),"")</f>
        <v/>
      </c>
      <c r="C71" s="62" t="str">
        <f>IFERROR(VLOOKUP(A71,'👥 All Students'!$A:$C,3,0),"")</f>
        <v/>
      </c>
      <c r="D71" s="84"/>
      <c r="E71" s="84"/>
      <c r="F71" s="89"/>
      <c r="G71" s="89"/>
      <c r="H71" s="89"/>
      <c r="I71" s="89"/>
      <c r="J71" s="89"/>
      <c r="K71" s="89"/>
      <c r="L71" s="65" t="str">
        <f t="shared" si="0"/>
        <v/>
      </c>
      <c r="M71" s="66" t="str">
        <f t="shared" si="1"/>
        <v/>
      </c>
      <c r="N71" s="67"/>
    </row>
    <row r="72" spans="1:14" ht="15.75" customHeight="1">
      <c r="A72" s="54" t="s">
        <v>233</v>
      </c>
      <c r="B72" s="68">
        <f>IFERROR(VLOOKUP(A72,'👥 All Students'!$A:$C,2,0),"")</f>
        <v>0</v>
      </c>
      <c r="C72" s="68">
        <f>IFERROR(VLOOKUP(A72,'👥 All Students'!$A:$C,3,0),"")</f>
        <v>0</v>
      </c>
      <c r="D72" s="84">
        <v>3.5</v>
      </c>
      <c r="E72" s="84">
        <v>3</v>
      </c>
      <c r="F72" s="89"/>
      <c r="G72" s="89"/>
      <c r="H72" s="89"/>
      <c r="I72" s="89"/>
      <c r="J72" s="84">
        <v>4</v>
      </c>
      <c r="K72" s="84">
        <v>4.5</v>
      </c>
      <c r="L72" s="65">
        <f t="shared" si="0"/>
        <v>15</v>
      </c>
      <c r="M72" s="66" t="str">
        <f t="shared" si="1"/>
        <v>38%</v>
      </c>
      <c r="N72" s="70"/>
    </row>
    <row r="73" spans="1:14" ht="15.75" customHeight="1">
      <c r="A73" s="54" t="s">
        <v>234</v>
      </c>
      <c r="B73" s="62">
        <f>IFERROR(VLOOKUP(A73,'👥 All Students'!$A:$C,2,0),"")</f>
        <v>0</v>
      </c>
      <c r="C73" s="62">
        <f>IFERROR(VLOOKUP(A73,'👥 All Students'!$A:$C,3,0),"")</f>
        <v>0</v>
      </c>
      <c r="D73" s="84">
        <v>5</v>
      </c>
      <c r="E73" s="84">
        <v>3.5</v>
      </c>
      <c r="F73" s="84">
        <v>4</v>
      </c>
      <c r="G73" s="84">
        <v>5</v>
      </c>
      <c r="H73" s="84">
        <v>4</v>
      </c>
      <c r="I73" s="84">
        <v>5</v>
      </c>
      <c r="J73" s="84">
        <v>4</v>
      </c>
      <c r="K73" s="84">
        <v>5</v>
      </c>
      <c r="L73" s="65">
        <f t="shared" si="0"/>
        <v>35.5</v>
      </c>
      <c r="M73" s="66" t="str">
        <f t="shared" si="1"/>
        <v>89%</v>
      </c>
      <c r="N73" s="67"/>
    </row>
    <row r="74" spans="1:14" ht="15.75" customHeight="1">
      <c r="A74" s="54" t="s">
        <v>258</v>
      </c>
      <c r="B74" s="68" t="str">
        <f>IFERROR(VLOOKUP(A74,'👥 All Students'!$A:$C,2,0),"")</f>
        <v/>
      </c>
      <c r="C74" s="68" t="str">
        <f>IFERROR(VLOOKUP(A74,'👥 All Students'!$A:$C,3,0),"")</f>
        <v/>
      </c>
      <c r="D74" s="84"/>
      <c r="E74" s="84"/>
      <c r="F74" s="89"/>
      <c r="G74" s="89"/>
      <c r="H74" s="89"/>
      <c r="I74" s="89"/>
      <c r="J74" s="89"/>
      <c r="K74" s="89"/>
      <c r="L74" s="65" t="str">
        <f t="shared" si="0"/>
        <v/>
      </c>
      <c r="M74" s="66" t="str">
        <f t="shared" si="1"/>
        <v/>
      </c>
      <c r="N74" s="70"/>
    </row>
    <row r="75" spans="1:14" ht="15.75" customHeight="1">
      <c r="A75" s="54" t="s">
        <v>235</v>
      </c>
      <c r="B75" s="62">
        <f>IFERROR(VLOOKUP(A75,'👥 All Students'!$A:$C,2,0),"")</f>
        <v>0</v>
      </c>
      <c r="C75" s="62">
        <f>IFERROR(VLOOKUP(A75,'👥 All Students'!$A:$C,3,0),"")</f>
        <v>0</v>
      </c>
      <c r="D75" s="84">
        <v>3.5</v>
      </c>
      <c r="E75" s="84">
        <v>2.5</v>
      </c>
      <c r="F75" s="84">
        <v>3</v>
      </c>
      <c r="G75" s="84">
        <v>4</v>
      </c>
      <c r="H75" s="84">
        <v>3</v>
      </c>
      <c r="I75" s="84">
        <v>4</v>
      </c>
      <c r="J75" s="84">
        <v>1.5</v>
      </c>
      <c r="K75" s="84">
        <v>5</v>
      </c>
      <c r="L75" s="65">
        <f t="shared" si="0"/>
        <v>26.5</v>
      </c>
      <c r="M75" s="66" t="str">
        <f t="shared" si="1"/>
        <v>66%</v>
      </c>
      <c r="N75" s="67"/>
    </row>
    <row r="76" spans="1:14" ht="15.75" customHeight="1">
      <c r="A76" s="54" t="s">
        <v>260</v>
      </c>
      <c r="B76" s="68" t="str">
        <f>IFERROR(VLOOKUP(A76,'👥 All Students'!$A:$C,2,0),"")</f>
        <v/>
      </c>
      <c r="C76" s="68" t="str">
        <f>IFERROR(VLOOKUP(A76,'👥 All Students'!$A:$C,3,0),"")</f>
        <v/>
      </c>
      <c r="D76" s="84"/>
      <c r="E76" s="84"/>
      <c r="F76" s="89"/>
      <c r="G76" s="89"/>
      <c r="H76" s="89"/>
      <c r="I76" s="89"/>
      <c r="J76" s="89"/>
      <c r="K76" s="89"/>
      <c r="L76" s="65" t="str">
        <f t="shared" si="0"/>
        <v/>
      </c>
      <c r="M76" s="66" t="str">
        <f t="shared" si="1"/>
        <v/>
      </c>
      <c r="N76" s="70"/>
    </row>
    <row r="77" spans="1:14" ht="15.75" customHeight="1">
      <c r="A77" s="54" t="s">
        <v>236</v>
      </c>
      <c r="B77" s="62">
        <f>IFERROR(VLOOKUP(A77,'👥 All Students'!$A:$C,2,0),"")</f>
        <v>0</v>
      </c>
      <c r="C77" s="62">
        <f>IFERROR(VLOOKUP(A77,'👥 All Students'!$A:$C,3,0),"")</f>
        <v>0</v>
      </c>
      <c r="D77" s="84">
        <v>3.5</v>
      </c>
      <c r="E77" s="84">
        <v>2.5</v>
      </c>
      <c r="F77" s="84">
        <v>4</v>
      </c>
      <c r="G77" s="84">
        <v>3.5</v>
      </c>
      <c r="H77" s="84">
        <v>4</v>
      </c>
      <c r="I77" s="84">
        <v>4</v>
      </c>
      <c r="J77" s="84">
        <v>4</v>
      </c>
      <c r="K77" s="84">
        <v>5</v>
      </c>
      <c r="L77" s="65">
        <f t="shared" si="0"/>
        <v>30.5</v>
      </c>
      <c r="M77" s="66" t="str">
        <f t="shared" si="1"/>
        <v>76%</v>
      </c>
      <c r="N77" s="67"/>
    </row>
    <row r="78" spans="1:14" ht="15.75" customHeight="1">
      <c r="A78" s="54" t="s">
        <v>272</v>
      </c>
      <c r="B78" s="68" t="str">
        <f>IFERROR(VLOOKUP(A78,'👥 All Students'!$A:$C,2,0),"")</f>
        <v/>
      </c>
      <c r="C78" s="68" t="str">
        <f>IFERROR(VLOOKUP(A78,'👥 All Students'!$A:$C,3,0),"")</f>
        <v/>
      </c>
      <c r="D78" s="84"/>
      <c r="E78" s="84"/>
      <c r="F78" s="89"/>
      <c r="G78" s="89"/>
      <c r="H78" s="89"/>
      <c r="I78" s="89"/>
      <c r="J78" s="89"/>
      <c r="K78" s="89"/>
      <c r="L78" s="65" t="str">
        <f t="shared" si="0"/>
        <v/>
      </c>
      <c r="M78" s="66" t="str">
        <f t="shared" si="1"/>
        <v/>
      </c>
      <c r="N78" s="70"/>
    </row>
    <row r="79" spans="1:14" ht="15.75" customHeight="1">
      <c r="A79" s="54" t="s">
        <v>237</v>
      </c>
      <c r="B79" s="62">
        <f>IFERROR(VLOOKUP(A79,'👥 All Students'!$A:$C,2,0),"")</f>
        <v>0</v>
      </c>
      <c r="C79" s="62">
        <f>IFERROR(VLOOKUP(A79,'👥 All Students'!$A:$C,3,0),"")</f>
        <v>0</v>
      </c>
      <c r="D79" s="84">
        <v>3</v>
      </c>
      <c r="E79" s="84">
        <v>3</v>
      </c>
      <c r="F79" s="89"/>
      <c r="G79" s="89"/>
      <c r="H79" s="89"/>
      <c r="I79" s="89"/>
      <c r="J79" s="89"/>
      <c r="K79" s="89"/>
      <c r="L79" s="65">
        <f t="shared" si="0"/>
        <v>6</v>
      </c>
      <c r="M79" s="66" t="str">
        <f t="shared" si="1"/>
        <v>15%</v>
      </c>
      <c r="N79" s="67"/>
    </row>
    <row r="80" spans="1:14" ht="15.75" customHeight="1">
      <c r="A80" s="128" t="s">
        <v>231</v>
      </c>
      <c r="B80" s="62" t="str">
        <f>IFERROR(VLOOKUP(A80,'👥 All Students'!$A:$C,2,0),"")</f>
        <v/>
      </c>
      <c r="C80" s="62" t="str">
        <f>IFERROR(VLOOKUP(A80,'👥 All Students'!$A:$C,3,0),"")</f>
        <v/>
      </c>
      <c r="D80" s="84"/>
      <c r="E80" s="84"/>
      <c r="F80" s="84">
        <v>5</v>
      </c>
      <c r="G80" s="84">
        <v>3.5</v>
      </c>
      <c r="H80" s="84">
        <v>3</v>
      </c>
      <c r="I80" s="84">
        <v>4.5</v>
      </c>
      <c r="J80" s="89"/>
      <c r="K80" s="89"/>
      <c r="L80" s="65">
        <f t="shared" si="0"/>
        <v>16</v>
      </c>
      <c r="M80" s="66" t="str">
        <f t="shared" si="1"/>
        <v>40%</v>
      </c>
      <c r="N80" s="67"/>
    </row>
    <row r="81" spans="1:14" ht="15.75" customHeight="1">
      <c r="A81" s="138" t="s">
        <v>238</v>
      </c>
      <c r="B81" s="68">
        <f>IFERROR(VLOOKUP(A81,'👥 All Students'!$A:$C,2,0),"")</f>
        <v>0</v>
      </c>
      <c r="C81" s="68">
        <f>IFERROR(VLOOKUP(A81,'👥 All Students'!$A:$C,3,0),"")</f>
        <v>0</v>
      </c>
      <c r="D81" s="84">
        <v>4</v>
      </c>
      <c r="E81" s="84">
        <v>5</v>
      </c>
      <c r="F81" s="84">
        <v>5</v>
      </c>
      <c r="G81" s="84">
        <v>5</v>
      </c>
      <c r="H81" s="84">
        <v>2</v>
      </c>
      <c r="I81" s="84">
        <v>5</v>
      </c>
      <c r="J81" s="84">
        <v>4.5</v>
      </c>
      <c r="K81" s="84">
        <v>5</v>
      </c>
      <c r="L81" s="65">
        <f t="shared" si="0"/>
        <v>35.5</v>
      </c>
      <c r="M81" s="66" t="str">
        <f t="shared" si="1"/>
        <v>89%</v>
      </c>
      <c r="N81" s="70"/>
    </row>
    <row r="82" spans="1:14" ht="15.75" customHeight="1">
      <c r="A82" s="138" t="s">
        <v>239</v>
      </c>
      <c r="B82" s="62">
        <f>IFERROR(VLOOKUP(A82,'👥 All Students'!$A:$C,2,0),"")</f>
        <v>0</v>
      </c>
      <c r="C82" s="62">
        <f>IFERROR(VLOOKUP(A82,'👥 All Students'!$A:$C,3,0),"")</f>
        <v>0</v>
      </c>
      <c r="D82" s="84">
        <v>4</v>
      </c>
      <c r="E82" s="84">
        <v>5</v>
      </c>
      <c r="F82" s="84">
        <v>5</v>
      </c>
      <c r="G82" s="84">
        <v>5</v>
      </c>
      <c r="H82" s="84">
        <v>4</v>
      </c>
      <c r="I82" s="84">
        <v>4</v>
      </c>
      <c r="J82" s="84">
        <v>5</v>
      </c>
      <c r="K82" s="84">
        <v>5</v>
      </c>
      <c r="L82" s="65">
        <f t="shared" si="0"/>
        <v>37</v>
      </c>
      <c r="M82" s="66" t="str">
        <f t="shared" si="1"/>
        <v>93%</v>
      </c>
      <c r="N82" s="67"/>
    </row>
    <row r="83" spans="1:14" ht="15.75" customHeight="1">
      <c r="A83" s="138" t="s">
        <v>240</v>
      </c>
      <c r="B83" s="68">
        <f>IFERROR(VLOOKUP(A83,'👥 All Students'!$A:$C,2,0),"")</f>
        <v>0</v>
      </c>
      <c r="C83" s="68">
        <f>IFERROR(VLOOKUP(A83,'👥 All Students'!$A:$C,3,0),"")</f>
        <v>0</v>
      </c>
      <c r="D83" s="84">
        <v>3</v>
      </c>
      <c r="E83" s="84">
        <v>3</v>
      </c>
      <c r="F83" s="84"/>
      <c r="G83" s="84"/>
      <c r="H83" s="84">
        <v>0</v>
      </c>
      <c r="I83" s="84">
        <v>3</v>
      </c>
      <c r="J83" s="89"/>
      <c r="K83" s="89"/>
      <c r="L83" s="65">
        <f t="shared" si="0"/>
        <v>9</v>
      </c>
      <c r="M83" s="66" t="str">
        <f t="shared" si="1"/>
        <v>23%</v>
      </c>
      <c r="N83" s="70"/>
    </row>
    <row r="84" spans="1:14" ht="15.75" customHeight="1">
      <c r="A84" s="138" t="s">
        <v>241</v>
      </c>
      <c r="B84" s="62">
        <f>IFERROR(VLOOKUP(A84,'👥 All Students'!$A:$C,2,0),"")</f>
        <v>0</v>
      </c>
      <c r="C84" s="62">
        <f>IFERROR(VLOOKUP(A84,'👥 All Students'!$A:$C,3,0),"")</f>
        <v>0</v>
      </c>
      <c r="D84" s="84">
        <v>4</v>
      </c>
      <c r="E84" s="84">
        <v>5</v>
      </c>
      <c r="F84" s="84">
        <v>5</v>
      </c>
      <c r="G84" s="84">
        <v>4</v>
      </c>
      <c r="H84" s="84">
        <v>4</v>
      </c>
      <c r="I84" s="84">
        <v>5</v>
      </c>
      <c r="J84" s="84">
        <v>5</v>
      </c>
      <c r="K84" s="84">
        <v>3</v>
      </c>
      <c r="L84" s="65">
        <f t="shared" si="0"/>
        <v>35</v>
      </c>
      <c r="M84" s="66" t="str">
        <f t="shared" si="1"/>
        <v>88%</v>
      </c>
      <c r="N84" s="67"/>
    </row>
    <row r="85" spans="1:14" ht="15.75" customHeight="1">
      <c r="A85" s="138" t="s">
        <v>243</v>
      </c>
      <c r="B85" s="68">
        <f>IFERROR(VLOOKUP(A85,'👥 All Students'!$A:$C,2,0),"")</f>
        <v>0</v>
      </c>
      <c r="C85" s="68">
        <f>IFERROR(VLOOKUP(A85,'👥 All Students'!$A:$C,3,0),"")</f>
        <v>0</v>
      </c>
      <c r="D85" s="84">
        <v>3</v>
      </c>
      <c r="E85" s="84">
        <v>4</v>
      </c>
      <c r="F85" s="84">
        <v>2</v>
      </c>
      <c r="G85" s="84">
        <v>3</v>
      </c>
      <c r="H85" s="84">
        <v>3</v>
      </c>
      <c r="I85" s="84">
        <v>5</v>
      </c>
      <c r="J85" s="84">
        <v>3</v>
      </c>
      <c r="K85" s="84">
        <v>4</v>
      </c>
      <c r="L85" s="65">
        <f t="shared" si="0"/>
        <v>27</v>
      </c>
      <c r="M85" s="66" t="str">
        <f t="shared" si="1"/>
        <v>68%</v>
      </c>
      <c r="N85" s="70"/>
    </row>
    <row r="86" spans="1:14" ht="15.75" customHeight="1">
      <c r="A86" s="138" t="s">
        <v>244</v>
      </c>
      <c r="B86" s="62">
        <f>IFERROR(VLOOKUP(A86,'👥 All Students'!$A:$C,2,0),"")</f>
        <v>0</v>
      </c>
      <c r="C86" s="62">
        <f>IFERROR(VLOOKUP(A86,'👥 All Students'!$A:$C,3,0),"")</f>
        <v>0</v>
      </c>
      <c r="D86" s="84">
        <v>4</v>
      </c>
      <c r="E86" s="84">
        <v>4</v>
      </c>
      <c r="F86" s="84">
        <v>4</v>
      </c>
      <c r="G86" s="84">
        <v>4</v>
      </c>
      <c r="H86" s="84">
        <v>1.5</v>
      </c>
      <c r="I86" s="84">
        <v>5</v>
      </c>
      <c r="J86" s="84">
        <v>5</v>
      </c>
      <c r="K86" s="84">
        <v>4</v>
      </c>
      <c r="L86" s="65">
        <f t="shared" si="0"/>
        <v>31.5</v>
      </c>
      <c r="M86" s="66" t="str">
        <f t="shared" si="1"/>
        <v>79%</v>
      </c>
      <c r="N86" s="67"/>
    </row>
    <row r="87" spans="1:14" ht="15.75" customHeight="1">
      <c r="A87" s="138" t="s">
        <v>245</v>
      </c>
      <c r="B87" s="68">
        <f>IFERROR(VLOOKUP(A87,'👥 All Students'!$A:$C,2,0),"")</f>
        <v>0</v>
      </c>
      <c r="C87" s="68">
        <f>IFERROR(VLOOKUP(A87,'👥 All Students'!$A:$C,3,0),"")</f>
        <v>0</v>
      </c>
      <c r="D87" s="84">
        <v>5</v>
      </c>
      <c r="E87" s="84">
        <v>5</v>
      </c>
      <c r="F87" s="84">
        <v>5</v>
      </c>
      <c r="G87" s="84">
        <v>3</v>
      </c>
      <c r="H87" s="84">
        <v>5</v>
      </c>
      <c r="I87" s="84">
        <v>5</v>
      </c>
      <c r="J87" s="84">
        <v>5</v>
      </c>
      <c r="K87" s="84">
        <v>5</v>
      </c>
      <c r="L87" s="65">
        <f t="shared" si="0"/>
        <v>38</v>
      </c>
      <c r="M87" s="66" t="str">
        <f t="shared" si="1"/>
        <v>95%</v>
      </c>
      <c r="N87" s="70"/>
    </row>
    <row r="88" spans="1:14" ht="15.75" customHeight="1">
      <c r="A88" s="138" t="s">
        <v>246</v>
      </c>
      <c r="B88" s="62">
        <f>IFERROR(VLOOKUP(A88,'👥 All Students'!$A:$C,2,0),"")</f>
        <v>0</v>
      </c>
      <c r="C88" s="62">
        <f>IFERROR(VLOOKUP(A88,'👥 All Students'!$A:$C,3,0),"")</f>
        <v>0</v>
      </c>
      <c r="D88" s="84">
        <v>5</v>
      </c>
      <c r="E88" s="84">
        <v>4</v>
      </c>
      <c r="F88" s="84">
        <v>5</v>
      </c>
      <c r="G88" s="84">
        <v>5</v>
      </c>
      <c r="H88" s="84">
        <v>3</v>
      </c>
      <c r="I88" s="84">
        <v>3.5</v>
      </c>
      <c r="J88" s="84">
        <v>2</v>
      </c>
      <c r="K88" s="84">
        <v>3</v>
      </c>
      <c r="L88" s="65">
        <f t="shared" si="0"/>
        <v>30.5</v>
      </c>
      <c r="M88" s="66" t="str">
        <f t="shared" si="1"/>
        <v>76%</v>
      </c>
      <c r="N88" s="67"/>
    </row>
    <row r="89" spans="1:14" ht="15.75" customHeight="1">
      <c r="A89" s="138" t="s">
        <v>247</v>
      </c>
      <c r="B89" s="68">
        <f>IFERROR(VLOOKUP(A89,'👥 All Students'!$A:$C,2,0),"")</f>
        <v>0</v>
      </c>
      <c r="C89" s="68">
        <f>IFERROR(VLOOKUP(A89,'👥 All Students'!$A:$C,3,0),"")</f>
        <v>0</v>
      </c>
      <c r="D89" s="84">
        <v>4</v>
      </c>
      <c r="E89" s="84">
        <v>4</v>
      </c>
      <c r="F89" s="84">
        <v>5</v>
      </c>
      <c r="G89" s="84">
        <v>4</v>
      </c>
      <c r="H89" s="84">
        <v>3.5</v>
      </c>
      <c r="I89" s="84">
        <v>3</v>
      </c>
      <c r="J89" s="84">
        <v>5</v>
      </c>
      <c r="K89" s="84">
        <v>4</v>
      </c>
      <c r="L89" s="65">
        <f t="shared" si="0"/>
        <v>32.5</v>
      </c>
      <c r="M89" s="66" t="str">
        <f t="shared" si="1"/>
        <v>81%</v>
      </c>
      <c r="N89" s="70"/>
    </row>
    <row r="90" spans="1:14" ht="15.75" customHeight="1">
      <c r="A90" s="138" t="s">
        <v>248</v>
      </c>
      <c r="B90" s="62">
        <f>IFERROR(VLOOKUP(A90,'👥 All Students'!$A:$C,2,0),"")</f>
        <v>0</v>
      </c>
      <c r="C90" s="62">
        <f>IFERROR(VLOOKUP(A90,'👥 All Students'!$A:$C,3,0),"")</f>
        <v>0</v>
      </c>
      <c r="D90" s="84">
        <v>3</v>
      </c>
      <c r="E90" s="84">
        <v>4</v>
      </c>
      <c r="F90" s="84">
        <v>5</v>
      </c>
      <c r="G90" s="84">
        <v>4</v>
      </c>
      <c r="H90" s="84">
        <v>3</v>
      </c>
      <c r="I90" s="84">
        <v>5</v>
      </c>
      <c r="J90" s="84">
        <v>5</v>
      </c>
      <c r="K90" s="84">
        <v>3</v>
      </c>
      <c r="L90" s="65">
        <f t="shared" si="0"/>
        <v>32</v>
      </c>
      <c r="M90" s="66" t="str">
        <f t="shared" si="1"/>
        <v>80%</v>
      </c>
      <c r="N90" s="67"/>
    </row>
    <row r="91" spans="1:14" ht="15.75" customHeight="1">
      <c r="A91" s="138" t="s">
        <v>249</v>
      </c>
      <c r="B91" s="68">
        <f>IFERROR(VLOOKUP(A91,'👥 All Students'!$A:$C,2,0),"")</f>
        <v>0</v>
      </c>
      <c r="C91" s="68">
        <f>IFERROR(VLOOKUP(A91,'👥 All Students'!$A:$C,3,0),"")</f>
        <v>0</v>
      </c>
      <c r="D91" s="84">
        <v>4</v>
      </c>
      <c r="E91" s="84">
        <v>4</v>
      </c>
      <c r="F91" s="84">
        <v>4</v>
      </c>
      <c r="G91" s="84">
        <v>3</v>
      </c>
      <c r="H91" s="84">
        <v>1</v>
      </c>
      <c r="I91" s="84">
        <v>4.5</v>
      </c>
      <c r="J91" s="84">
        <v>5</v>
      </c>
      <c r="K91" s="84">
        <v>3</v>
      </c>
      <c r="L91" s="65">
        <f t="shared" si="0"/>
        <v>28.5</v>
      </c>
      <c r="M91" s="66" t="str">
        <f t="shared" si="1"/>
        <v>71%</v>
      </c>
      <c r="N91" s="70"/>
    </row>
    <row r="92" spans="1:14" ht="15.75" customHeight="1">
      <c r="A92" s="138" t="s">
        <v>250</v>
      </c>
      <c r="B92" s="62">
        <f>IFERROR(VLOOKUP(A92,'👥 All Students'!$A:$C,2,0),"")</f>
        <v>0</v>
      </c>
      <c r="C92" s="62">
        <f>IFERROR(VLOOKUP(A92,'👥 All Students'!$A:$C,3,0),"")</f>
        <v>0</v>
      </c>
      <c r="D92" s="84">
        <v>4</v>
      </c>
      <c r="E92" s="84">
        <v>5</v>
      </c>
      <c r="F92" s="84">
        <v>5</v>
      </c>
      <c r="G92" s="84">
        <v>4</v>
      </c>
      <c r="H92" s="84">
        <v>4</v>
      </c>
      <c r="I92" s="84">
        <v>5</v>
      </c>
      <c r="J92" s="84">
        <v>5</v>
      </c>
      <c r="K92" s="84">
        <v>5</v>
      </c>
      <c r="L92" s="65">
        <f t="shared" si="0"/>
        <v>37</v>
      </c>
      <c r="M92" s="66" t="str">
        <f t="shared" si="1"/>
        <v>93%</v>
      </c>
      <c r="N92" s="67"/>
    </row>
    <row r="93" spans="1:14" ht="15.75" customHeight="1">
      <c r="A93" s="138" t="s">
        <v>251</v>
      </c>
      <c r="B93" s="68">
        <f>IFERROR(VLOOKUP(A93,'👥 All Students'!$A:$C,2,0),"")</f>
        <v>0</v>
      </c>
      <c r="C93" s="68">
        <f>IFERROR(VLOOKUP(A93,'👥 All Students'!$A:$C,3,0),"")</f>
        <v>0</v>
      </c>
      <c r="D93" s="84">
        <v>4</v>
      </c>
      <c r="E93" s="84">
        <v>4</v>
      </c>
      <c r="F93" s="84">
        <v>4.5</v>
      </c>
      <c r="G93" s="84">
        <v>4</v>
      </c>
      <c r="H93" s="84">
        <v>2</v>
      </c>
      <c r="I93" s="84">
        <v>3.5</v>
      </c>
      <c r="J93" s="84">
        <v>2</v>
      </c>
      <c r="K93" s="84">
        <v>3</v>
      </c>
      <c r="L93" s="65">
        <f t="shared" si="0"/>
        <v>27</v>
      </c>
      <c r="M93" s="66" t="str">
        <f t="shared" si="1"/>
        <v>68%</v>
      </c>
      <c r="N93" s="70"/>
    </row>
    <row r="94" spans="1:14" ht="15.75" customHeight="1">
      <c r="A94" s="138" t="s">
        <v>253</v>
      </c>
      <c r="B94" s="62">
        <f>IFERROR(VLOOKUP(A94,'👥 All Students'!$A:$C,2,0),"")</f>
        <v>0</v>
      </c>
      <c r="C94" s="62">
        <f>IFERROR(VLOOKUP(A94,'👥 All Students'!$A:$C,3,0),"")</f>
        <v>0</v>
      </c>
      <c r="D94" s="84">
        <v>5</v>
      </c>
      <c r="E94" s="84">
        <v>3</v>
      </c>
      <c r="F94" s="84">
        <v>4.5</v>
      </c>
      <c r="G94" s="84">
        <v>5</v>
      </c>
      <c r="H94" s="84">
        <v>2</v>
      </c>
      <c r="I94" s="84">
        <v>5</v>
      </c>
      <c r="J94" s="84">
        <v>5</v>
      </c>
      <c r="K94" s="84">
        <v>4</v>
      </c>
      <c r="L94" s="65">
        <f t="shared" si="0"/>
        <v>33.5</v>
      </c>
      <c r="M94" s="66" t="str">
        <f t="shared" si="1"/>
        <v>84%</v>
      </c>
      <c r="N94" s="67"/>
    </row>
    <row r="95" spans="1:14" ht="15.75" customHeight="1">
      <c r="A95" s="138" t="s">
        <v>255</v>
      </c>
      <c r="B95" s="68">
        <f>IFERROR(VLOOKUP(A95,'👥 All Students'!$A:$C,2,0),"")</f>
        <v>0</v>
      </c>
      <c r="C95" s="68">
        <f>IFERROR(VLOOKUP(A95,'👥 All Students'!$A:$C,3,0),"")</f>
        <v>0</v>
      </c>
      <c r="D95" s="84">
        <v>4</v>
      </c>
      <c r="E95" s="84">
        <v>3</v>
      </c>
      <c r="F95" s="84">
        <v>5</v>
      </c>
      <c r="G95" s="84">
        <v>5</v>
      </c>
      <c r="H95" s="84">
        <v>5</v>
      </c>
      <c r="I95" s="84">
        <v>5</v>
      </c>
      <c r="J95" s="84">
        <v>5</v>
      </c>
      <c r="K95" s="84">
        <v>4</v>
      </c>
      <c r="L95" s="65">
        <f t="shared" si="0"/>
        <v>36</v>
      </c>
      <c r="M95" s="66" t="str">
        <f t="shared" si="1"/>
        <v>90%</v>
      </c>
      <c r="N95" s="70"/>
    </row>
    <row r="96" spans="1:14" ht="15.75" customHeight="1">
      <c r="A96" s="138" t="s">
        <v>256</v>
      </c>
      <c r="B96" s="62">
        <f>IFERROR(VLOOKUP(A96,'👥 All Students'!$A:$C,2,0),"")</f>
        <v>0</v>
      </c>
      <c r="C96" s="62">
        <f>IFERROR(VLOOKUP(A96,'👥 All Students'!$A:$C,3,0),"")</f>
        <v>0</v>
      </c>
      <c r="D96" s="84">
        <v>3</v>
      </c>
      <c r="E96" s="84">
        <v>3</v>
      </c>
      <c r="F96" s="84">
        <v>4</v>
      </c>
      <c r="G96" s="84">
        <v>2</v>
      </c>
      <c r="H96" s="84">
        <v>3.5</v>
      </c>
      <c r="I96" s="84">
        <v>1</v>
      </c>
      <c r="J96" s="84">
        <v>3</v>
      </c>
      <c r="K96" s="84">
        <v>3</v>
      </c>
      <c r="L96" s="65">
        <f t="shared" si="0"/>
        <v>22.5</v>
      </c>
      <c r="M96" s="66" t="str">
        <f t="shared" si="1"/>
        <v>56%</v>
      </c>
      <c r="N96" s="67"/>
    </row>
    <row r="97" spans="1:14" ht="15.75" customHeight="1">
      <c r="A97" s="138" t="s">
        <v>257</v>
      </c>
      <c r="B97" s="68">
        <f>IFERROR(VLOOKUP(A97,'👥 All Students'!$A:$C,2,0),"")</f>
        <v>0</v>
      </c>
      <c r="C97" s="68">
        <f>IFERROR(VLOOKUP(A97,'👥 All Students'!$A:$C,3,0),"")</f>
        <v>0</v>
      </c>
      <c r="D97" s="84">
        <v>3</v>
      </c>
      <c r="E97" s="84">
        <v>4</v>
      </c>
      <c r="F97" s="89"/>
      <c r="G97" s="89"/>
      <c r="H97" s="84">
        <v>1</v>
      </c>
      <c r="I97" s="84">
        <v>3</v>
      </c>
      <c r="J97" s="84">
        <v>3</v>
      </c>
      <c r="K97" s="84">
        <v>3</v>
      </c>
      <c r="L97" s="65">
        <f t="shared" si="0"/>
        <v>17</v>
      </c>
      <c r="M97" s="66" t="str">
        <f t="shared" si="1"/>
        <v>43%</v>
      </c>
      <c r="N97" s="70"/>
    </row>
    <row r="98" spans="1:14" ht="15.75" customHeight="1">
      <c r="A98" s="138" t="s">
        <v>259</v>
      </c>
      <c r="B98" s="62">
        <f>IFERROR(VLOOKUP(A98,'👥 All Students'!$A:$C,2,0),"")</f>
        <v>0</v>
      </c>
      <c r="C98" s="62">
        <f>IFERROR(VLOOKUP(A98,'👥 All Students'!$A:$C,3,0),"")</f>
        <v>0</v>
      </c>
      <c r="D98" s="84">
        <v>4</v>
      </c>
      <c r="E98" s="84">
        <v>5</v>
      </c>
      <c r="F98" s="84">
        <v>5</v>
      </c>
      <c r="G98" s="84">
        <v>5</v>
      </c>
      <c r="H98" s="84">
        <v>5</v>
      </c>
      <c r="I98" s="84">
        <v>5</v>
      </c>
      <c r="J98" s="84">
        <v>2.5</v>
      </c>
      <c r="K98" s="84">
        <v>4</v>
      </c>
      <c r="L98" s="65">
        <f t="shared" si="0"/>
        <v>35.5</v>
      </c>
      <c r="M98" s="66" t="str">
        <f t="shared" si="1"/>
        <v>89%</v>
      </c>
      <c r="N98" s="67"/>
    </row>
    <row r="99" spans="1:14" ht="15.75" customHeight="1">
      <c r="A99" s="138" t="s">
        <v>261</v>
      </c>
      <c r="B99" s="68">
        <f>IFERROR(VLOOKUP(A99,'👥 All Students'!$A:$C,2,0),"")</f>
        <v>0</v>
      </c>
      <c r="C99" s="68">
        <f>IFERROR(VLOOKUP(A99,'👥 All Students'!$A:$C,3,0),"")</f>
        <v>0</v>
      </c>
      <c r="D99" s="84">
        <v>3.5</v>
      </c>
      <c r="E99" s="84">
        <v>4</v>
      </c>
      <c r="F99" s="84">
        <v>4</v>
      </c>
      <c r="G99" s="84">
        <v>4</v>
      </c>
      <c r="H99" s="84">
        <v>2</v>
      </c>
      <c r="I99" s="84">
        <v>4</v>
      </c>
      <c r="J99" s="84">
        <v>3</v>
      </c>
      <c r="K99" s="84">
        <v>4</v>
      </c>
      <c r="L99" s="65">
        <f t="shared" si="0"/>
        <v>28.5</v>
      </c>
      <c r="M99" s="66" t="str">
        <f t="shared" si="1"/>
        <v>71%</v>
      </c>
      <c r="N99" s="70"/>
    </row>
    <row r="100" spans="1:14" ht="15.75" customHeight="1">
      <c r="A100" s="138" t="s">
        <v>262</v>
      </c>
      <c r="B100" s="62">
        <f>IFERROR(VLOOKUP(A100,'👥 All Students'!$A:$C,2,0),"")</f>
        <v>0</v>
      </c>
      <c r="C100" s="62">
        <f>IFERROR(VLOOKUP(A100,'👥 All Students'!$A:$C,3,0),"")</f>
        <v>0</v>
      </c>
      <c r="D100" s="84">
        <v>4</v>
      </c>
      <c r="E100" s="84">
        <v>4</v>
      </c>
      <c r="F100" s="89"/>
      <c r="G100" s="89"/>
      <c r="H100" s="89"/>
      <c r="I100" s="89"/>
      <c r="J100" s="89"/>
      <c r="K100" s="89"/>
      <c r="L100" s="65">
        <f t="shared" si="0"/>
        <v>8</v>
      </c>
      <c r="M100" s="66" t="str">
        <f t="shared" si="1"/>
        <v>20%</v>
      </c>
      <c r="N100" s="67"/>
    </row>
    <row r="101" spans="1:14" ht="15.75" customHeight="1">
      <c r="A101" s="138" t="s">
        <v>263</v>
      </c>
      <c r="B101" s="68">
        <f>IFERROR(VLOOKUP(A101,'👥 All Students'!$A:$C,2,0),"")</f>
        <v>0</v>
      </c>
      <c r="C101" s="68">
        <f>IFERROR(VLOOKUP(A101,'👥 All Students'!$A:$C,3,0),"")</f>
        <v>0</v>
      </c>
      <c r="D101" s="84">
        <v>5</v>
      </c>
      <c r="E101" s="84">
        <v>3</v>
      </c>
      <c r="F101" s="84">
        <v>3</v>
      </c>
      <c r="G101" s="84">
        <v>3</v>
      </c>
      <c r="H101" s="84">
        <v>0</v>
      </c>
      <c r="I101" s="84">
        <v>4</v>
      </c>
      <c r="J101" s="84">
        <v>4</v>
      </c>
      <c r="K101" s="84">
        <v>4</v>
      </c>
      <c r="L101" s="65">
        <f t="shared" si="0"/>
        <v>26</v>
      </c>
      <c r="M101" s="66" t="str">
        <f t="shared" si="1"/>
        <v>65%</v>
      </c>
      <c r="N101" s="70"/>
    </row>
    <row r="102" spans="1:14" ht="15.75" customHeight="1">
      <c r="A102" s="138" t="s">
        <v>268</v>
      </c>
      <c r="B102" s="62" t="str">
        <f>IFERROR(VLOOKUP(A102,'👥 All Students'!$A:$C,2,0),"")</f>
        <v/>
      </c>
      <c r="C102" s="62" t="str">
        <f>IFERROR(VLOOKUP(A102,'👥 All Students'!$A:$C,3,0),"")</f>
        <v/>
      </c>
      <c r="D102" s="84">
        <v>3.5</v>
      </c>
      <c r="E102" s="84">
        <v>3</v>
      </c>
      <c r="F102" s="84">
        <v>5</v>
      </c>
      <c r="G102" s="84">
        <v>3</v>
      </c>
      <c r="H102" s="84">
        <v>4</v>
      </c>
      <c r="I102" s="84">
        <v>5</v>
      </c>
      <c r="J102" s="84">
        <v>5</v>
      </c>
      <c r="K102" s="84">
        <v>4</v>
      </c>
      <c r="L102" s="65">
        <f t="shared" si="0"/>
        <v>32.5</v>
      </c>
      <c r="M102" s="66" t="str">
        <f t="shared" si="1"/>
        <v>81%</v>
      </c>
      <c r="N102" s="67"/>
    </row>
    <row r="103" spans="1:14" ht="15.75" customHeight="1">
      <c r="A103" s="138" t="s">
        <v>264</v>
      </c>
      <c r="B103" s="68" t="str">
        <f>IFERROR(VLOOKUP(A103,'👥 All Students'!$A:$C,2,0),"")</f>
        <v/>
      </c>
      <c r="C103" s="68" t="str">
        <f>IFERROR(VLOOKUP(A103,'👥 All Students'!$A:$C,3,0),"")</f>
        <v/>
      </c>
      <c r="D103" s="84">
        <v>5</v>
      </c>
      <c r="E103" s="84">
        <v>3</v>
      </c>
      <c r="F103" s="84">
        <v>4.5</v>
      </c>
      <c r="G103" s="84">
        <v>5</v>
      </c>
      <c r="H103" s="84">
        <v>5</v>
      </c>
      <c r="I103" s="84">
        <v>5</v>
      </c>
      <c r="J103" s="84">
        <v>5</v>
      </c>
      <c r="K103" s="84">
        <v>4</v>
      </c>
      <c r="L103" s="65">
        <f t="shared" si="0"/>
        <v>36.5</v>
      </c>
      <c r="M103" s="66" t="str">
        <f t="shared" si="1"/>
        <v>91%</v>
      </c>
      <c r="N103" s="70"/>
    </row>
    <row r="104" spans="1:14" ht="15.75" customHeight="1">
      <c r="A104" s="138" t="s">
        <v>265</v>
      </c>
      <c r="B104" s="62" t="str">
        <f>IFERROR(VLOOKUP(A104,'👥 All Students'!$A:$C,2,0),"")</f>
        <v/>
      </c>
      <c r="C104" s="62" t="str">
        <f>IFERROR(VLOOKUP(A104,'👥 All Students'!$A:$C,3,0),"")</f>
        <v/>
      </c>
      <c r="D104" s="84">
        <v>5</v>
      </c>
      <c r="E104" s="84">
        <v>4</v>
      </c>
      <c r="F104" s="84">
        <v>4</v>
      </c>
      <c r="G104" s="84">
        <v>3.5</v>
      </c>
      <c r="H104" s="84">
        <v>3</v>
      </c>
      <c r="I104" s="84">
        <v>5</v>
      </c>
      <c r="J104" s="84">
        <v>5</v>
      </c>
      <c r="K104" s="84">
        <v>5</v>
      </c>
      <c r="L104" s="65">
        <f t="shared" si="0"/>
        <v>34.5</v>
      </c>
      <c r="M104" s="66" t="str">
        <f t="shared" si="1"/>
        <v>86%</v>
      </c>
      <c r="N104" s="67"/>
    </row>
    <row r="105" spans="1:14" ht="15.75" customHeight="1">
      <c r="A105" s="138" t="s">
        <v>266</v>
      </c>
      <c r="B105" s="68" t="str">
        <f>IFERROR(VLOOKUP(A105,'👥 All Students'!$A:$C,2,0),"")</f>
        <v/>
      </c>
      <c r="C105" s="68" t="str">
        <f>IFERROR(VLOOKUP(A105,'👥 All Students'!$A:$C,3,0),"")</f>
        <v/>
      </c>
      <c r="D105" s="84">
        <v>5</v>
      </c>
      <c r="E105" s="84">
        <v>4.5</v>
      </c>
      <c r="F105" s="84">
        <v>5</v>
      </c>
      <c r="G105" s="84">
        <v>4</v>
      </c>
      <c r="H105" s="84">
        <v>2</v>
      </c>
      <c r="I105" s="84">
        <v>5</v>
      </c>
      <c r="J105" s="84">
        <v>5</v>
      </c>
      <c r="K105" s="84">
        <v>5</v>
      </c>
      <c r="L105" s="65">
        <f t="shared" si="0"/>
        <v>35.5</v>
      </c>
      <c r="M105" s="66" t="str">
        <f t="shared" si="1"/>
        <v>89%</v>
      </c>
      <c r="N105" s="70"/>
    </row>
    <row r="106" spans="1:14" ht="15.75" customHeight="1">
      <c r="A106" s="138" t="s">
        <v>267</v>
      </c>
      <c r="B106" s="62" t="str">
        <f>IFERROR(VLOOKUP(A106,'👥 All Students'!$A:$C,2,0),"")</f>
        <v/>
      </c>
      <c r="C106" s="62" t="str">
        <f>IFERROR(VLOOKUP(A106,'👥 All Students'!$A:$C,3,0),"")</f>
        <v/>
      </c>
      <c r="D106" s="84">
        <v>3</v>
      </c>
      <c r="E106" s="84">
        <v>3</v>
      </c>
      <c r="F106" s="89"/>
      <c r="G106" s="89"/>
      <c r="H106" s="84">
        <v>3</v>
      </c>
      <c r="I106" s="84">
        <v>5</v>
      </c>
      <c r="J106" s="89"/>
      <c r="K106" s="89"/>
      <c r="L106" s="65">
        <f t="shared" si="0"/>
        <v>14</v>
      </c>
      <c r="M106" s="66" t="str">
        <f t="shared" si="1"/>
        <v>35%</v>
      </c>
      <c r="N106" s="67"/>
    </row>
    <row r="107" spans="1:14" ht="14.25" customHeight="1">
      <c r="A107" s="138" t="s">
        <v>269</v>
      </c>
      <c r="B107" s="62" t="str">
        <f>IFERROR(VLOOKUP(A107,'👥 All Students'!$A:$C,2,0),"")</f>
        <v/>
      </c>
      <c r="C107" s="62" t="str">
        <f>IFERROR(VLOOKUP(A107,'👥 All Students'!$A:$C,3,0),"")</f>
        <v/>
      </c>
      <c r="D107" s="84">
        <v>4</v>
      </c>
      <c r="E107" s="84">
        <v>4</v>
      </c>
      <c r="F107" s="84">
        <v>5</v>
      </c>
      <c r="G107" s="84">
        <v>5</v>
      </c>
      <c r="H107" s="84">
        <v>1</v>
      </c>
      <c r="I107" s="84">
        <v>4.5</v>
      </c>
      <c r="J107" s="84">
        <v>4</v>
      </c>
      <c r="K107" s="84">
        <v>5</v>
      </c>
      <c r="L107" s="65">
        <f t="shared" si="0"/>
        <v>32.5</v>
      </c>
      <c r="M107" s="66" t="str">
        <f t="shared" si="1"/>
        <v>81%</v>
      </c>
      <c r="N107" s="67"/>
    </row>
    <row r="108" spans="1:14" ht="14.25" customHeight="1">
      <c r="A108" s="138" t="s">
        <v>270</v>
      </c>
      <c r="B108" s="62" t="str">
        <f>IFERROR(VLOOKUP(A108,'👥 All Students'!$A:$C,2,0),"")</f>
        <v/>
      </c>
      <c r="C108" s="62" t="str">
        <f>IFERROR(VLOOKUP(A108,'👥 All Students'!$A:$C,3,0),"")</f>
        <v/>
      </c>
      <c r="D108" s="84">
        <v>2</v>
      </c>
      <c r="E108" s="84">
        <v>3</v>
      </c>
      <c r="F108" s="84">
        <v>5</v>
      </c>
      <c r="G108" s="84">
        <v>5</v>
      </c>
      <c r="H108" s="84">
        <v>0.5</v>
      </c>
      <c r="I108" s="84">
        <v>5</v>
      </c>
      <c r="J108" s="84">
        <v>2</v>
      </c>
      <c r="K108" s="84">
        <v>3</v>
      </c>
      <c r="L108" s="65">
        <f t="shared" si="0"/>
        <v>25.5</v>
      </c>
      <c r="M108" s="66" t="str">
        <f t="shared" si="1"/>
        <v>64%</v>
      </c>
      <c r="N108" s="67"/>
    </row>
    <row r="109" spans="1:14" ht="14.25" customHeight="1">
      <c r="A109" s="138" t="s">
        <v>271</v>
      </c>
      <c r="B109" s="62" t="str">
        <f>IFERROR(VLOOKUP(A109,'👥 All Students'!$A:$C,2,0),"")</f>
        <v/>
      </c>
      <c r="C109" s="62" t="str">
        <f>IFERROR(VLOOKUP(A109,'👥 All Students'!$A:$C,3,0),"")</f>
        <v/>
      </c>
      <c r="D109" s="84">
        <v>4</v>
      </c>
      <c r="E109" s="84">
        <v>5</v>
      </c>
      <c r="F109" s="84">
        <v>5</v>
      </c>
      <c r="G109" s="84">
        <v>5</v>
      </c>
      <c r="H109" s="84">
        <v>4.5</v>
      </c>
      <c r="I109" s="84">
        <v>5</v>
      </c>
      <c r="J109" s="84">
        <v>5</v>
      </c>
      <c r="K109" s="84">
        <v>3</v>
      </c>
      <c r="L109" s="65">
        <f t="shared" si="0"/>
        <v>36.5</v>
      </c>
      <c r="M109" s="66" t="str">
        <f t="shared" si="1"/>
        <v>91%</v>
      </c>
      <c r="N109" s="67"/>
    </row>
    <row r="110" spans="1:14" ht="14.25" customHeight="1">
      <c r="A110" s="138" t="s">
        <v>273</v>
      </c>
      <c r="B110" s="62" t="str">
        <f>IFERROR(VLOOKUP(A110,'👥 All Students'!$A:$C,2,0),"")</f>
        <v/>
      </c>
      <c r="C110" s="62" t="str">
        <f>IFERROR(VLOOKUP(A110,'👥 All Students'!$A:$C,3,0),"")</f>
        <v/>
      </c>
      <c r="D110" s="89"/>
      <c r="E110" s="89"/>
      <c r="F110" s="89"/>
      <c r="G110" s="89"/>
      <c r="H110" s="89"/>
      <c r="I110" s="89"/>
      <c r="J110" s="89"/>
      <c r="K110" s="89"/>
      <c r="L110" s="65" t="str">
        <f t="shared" si="0"/>
        <v/>
      </c>
      <c r="M110" s="66" t="str">
        <f t="shared" si="1"/>
        <v/>
      </c>
      <c r="N110" s="67"/>
    </row>
    <row r="111" spans="1:14" ht="14.25" customHeight="1">
      <c r="A111" s="138" t="s">
        <v>274</v>
      </c>
      <c r="B111" s="62" t="str">
        <f>IFERROR(VLOOKUP(A111,'👥 All Students'!$A:$C,2,0),"")</f>
        <v/>
      </c>
      <c r="C111" s="62" t="str">
        <f>IFERROR(VLOOKUP(A111,'👥 All Students'!$A:$C,3,0),"")</f>
        <v/>
      </c>
      <c r="D111" s="127"/>
      <c r="E111" s="127"/>
      <c r="F111" s="127"/>
      <c r="G111" s="127"/>
      <c r="H111" s="127"/>
      <c r="I111" s="127"/>
      <c r="J111" s="127"/>
      <c r="K111" s="127"/>
      <c r="L111" s="51" t="str">
        <f t="shared" si="0"/>
        <v/>
      </c>
      <c r="M111" s="60" t="str">
        <f t="shared" si="1"/>
        <v/>
      </c>
      <c r="N111" s="15"/>
    </row>
    <row r="112" spans="1:14" ht="14.25" customHeight="1">
      <c r="A112" s="138" t="s">
        <v>275</v>
      </c>
      <c r="B112" s="62" t="str">
        <f>IFERROR(VLOOKUP(A112,'👥 All Students'!$A:$C,2,0),"")</f>
        <v/>
      </c>
      <c r="C112" s="62" t="str">
        <f>IFERROR(VLOOKUP(A112,'👥 All Students'!$A:$C,3,0),"")</f>
        <v/>
      </c>
      <c r="D112" s="127"/>
      <c r="E112" s="127"/>
      <c r="F112" s="127"/>
      <c r="G112" s="127"/>
      <c r="H112" s="127"/>
      <c r="I112" s="127"/>
      <c r="J112" s="127"/>
      <c r="K112" s="127"/>
      <c r="L112" s="51" t="str">
        <f t="shared" si="0"/>
        <v/>
      </c>
      <c r="M112" s="60" t="str">
        <f t="shared" si="1"/>
        <v/>
      </c>
      <c r="N112" s="15"/>
    </row>
    <row r="113" spans="1:14" ht="14.25" customHeight="1">
      <c r="A113" s="138" t="s">
        <v>276</v>
      </c>
      <c r="B113" s="62" t="str">
        <f>IFERROR(VLOOKUP(A113,'👥 All Students'!$A:$C,2,0),"")</f>
        <v/>
      </c>
      <c r="C113" s="62" t="str">
        <f>IFERROR(VLOOKUP(A113,'👥 All Students'!$A:$C,3,0),"")</f>
        <v/>
      </c>
      <c r="D113" s="127"/>
      <c r="E113" s="127"/>
      <c r="F113" s="127"/>
      <c r="G113" s="127"/>
      <c r="H113" s="127"/>
      <c r="I113" s="127"/>
      <c r="J113" s="127"/>
      <c r="K113" s="127"/>
      <c r="L113" s="51" t="str">
        <f t="shared" si="0"/>
        <v/>
      </c>
      <c r="M113" s="60" t="str">
        <f t="shared" si="1"/>
        <v/>
      </c>
      <c r="N113" s="15"/>
    </row>
    <row r="114" spans="1:14" ht="14.25" customHeight="1">
      <c r="A114" s="138" t="s">
        <v>277</v>
      </c>
      <c r="B114" s="62" t="str">
        <f>IFERROR(VLOOKUP(A114,'👥 All Students'!$A:$C,2,0),"")</f>
        <v/>
      </c>
      <c r="C114" s="62" t="str">
        <f>IFERROR(VLOOKUP(A114,'👥 All Students'!$A:$C,3,0),"")</f>
        <v/>
      </c>
      <c r="D114" s="127"/>
      <c r="E114" s="127"/>
      <c r="F114" s="127"/>
      <c r="G114" s="127"/>
      <c r="H114" s="127"/>
      <c r="I114" s="127"/>
      <c r="J114" s="127"/>
      <c r="K114" s="127"/>
      <c r="L114" s="51" t="str">
        <f t="shared" si="0"/>
        <v/>
      </c>
      <c r="M114" s="60" t="str">
        <f t="shared" si="1"/>
        <v/>
      </c>
      <c r="N114" s="15"/>
    </row>
    <row r="115" spans="1:14" ht="14.25" customHeight="1">
      <c r="A115" s="140"/>
      <c r="B115" s="62" t="str">
        <f>IFERROR(VLOOKUP(A115,'👥 All Students'!$A:$C,2,0),"")</f>
        <v/>
      </c>
      <c r="C115" s="62" t="str">
        <f>IFERROR(VLOOKUP(A115,'👥 All Students'!$A:$C,3,0),"")</f>
        <v/>
      </c>
    </row>
    <row r="116" spans="1:14" ht="14.25" customHeight="1">
      <c r="A116" s="140"/>
      <c r="B116" s="62" t="str">
        <f>IFERROR(VLOOKUP(A116,'👥 All Students'!$A:$C,2,0),"")</f>
        <v/>
      </c>
      <c r="C116" s="62" t="str">
        <f>IFERROR(VLOOKUP(A116,'👥 All Students'!$A:$C,3,0),"")</f>
        <v/>
      </c>
    </row>
    <row r="117" spans="1:14" ht="14.25" customHeight="1">
      <c r="A117" s="140"/>
      <c r="B117" s="62" t="str">
        <f>IFERROR(VLOOKUP(A117,'👥 All Students'!$A:$C,2,0),"")</f>
        <v/>
      </c>
      <c r="C117" s="62" t="str">
        <f>IFERROR(VLOOKUP(A117,'👥 All Students'!$A:$C,3,0),"")</f>
        <v/>
      </c>
    </row>
    <row r="118" spans="1:14" ht="14.25" customHeight="1">
      <c r="A118" s="140"/>
      <c r="B118" s="62" t="str">
        <f>IFERROR(VLOOKUP(A118,'👥 All Students'!$A:$C,2,0),"")</f>
        <v/>
      </c>
      <c r="C118" s="62" t="str">
        <f>IFERROR(VLOOKUP(A118,'👥 All Students'!$A:$C,3,0),"")</f>
        <v/>
      </c>
    </row>
    <row r="119" spans="1:14" ht="14.25" customHeight="1">
      <c r="A119" s="140"/>
      <c r="B119" s="62" t="str">
        <f>IFERROR(VLOOKUP(A119,'👥 All Students'!$A:$C,2,0),"")</f>
        <v/>
      </c>
      <c r="C119" s="62" t="str">
        <f>IFERROR(VLOOKUP(A119,'👥 All Students'!$A:$C,3,0),"")</f>
        <v/>
      </c>
    </row>
    <row r="120" spans="1:14" ht="14.25" customHeight="1">
      <c r="A120" s="140"/>
      <c r="B120" s="140"/>
      <c r="C120" s="140"/>
    </row>
    <row r="121" spans="1:14" ht="14.25" customHeight="1">
      <c r="A121" s="140"/>
      <c r="B121" s="140"/>
      <c r="C121" s="140"/>
    </row>
    <row r="122" spans="1:14" ht="14.25" customHeight="1">
      <c r="A122" s="140"/>
      <c r="B122" s="140"/>
      <c r="C122" s="140"/>
    </row>
    <row r="123" spans="1:14" ht="14.25" customHeight="1">
      <c r="A123" s="140"/>
      <c r="B123" s="140"/>
      <c r="C123" s="140"/>
    </row>
    <row r="124" spans="1:14" ht="14.25" customHeight="1">
      <c r="A124" s="140"/>
      <c r="B124" s="140"/>
      <c r="C124" s="140"/>
    </row>
    <row r="125" spans="1:14" ht="14.25" customHeight="1">
      <c r="A125" s="140"/>
      <c r="B125" s="140"/>
      <c r="C125" s="140"/>
    </row>
    <row r="126" spans="1:14" ht="14.25" customHeight="1">
      <c r="A126" s="140"/>
      <c r="B126" s="140"/>
      <c r="C126" s="140"/>
    </row>
    <row r="127" spans="1:14" ht="14.25" customHeight="1">
      <c r="A127" s="140"/>
      <c r="B127" s="140"/>
      <c r="C127" s="140"/>
    </row>
    <row r="128" spans="1:14" ht="14.25" customHeight="1">
      <c r="A128" s="140"/>
      <c r="B128" s="140"/>
      <c r="C128" s="140"/>
    </row>
    <row r="129" spans="1:3" ht="14.25" customHeight="1">
      <c r="A129" s="140"/>
      <c r="B129" s="140"/>
      <c r="C129" s="140"/>
    </row>
    <row r="130" spans="1:3" ht="14.25" customHeight="1">
      <c r="A130" s="140"/>
      <c r="B130" s="140"/>
      <c r="C130" s="140"/>
    </row>
    <row r="131" spans="1:3" ht="14.25" customHeight="1">
      <c r="A131" s="140"/>
      <c r="B131" s="140"/>
      <c r="C131" s="140"/>
    </row>
    <row r="132" spans="1:3" ht="14.25" customHeight="1">
      <c r="A132" s="140"/>
      <c r="B132" s="140"/>
      <c r="C132" s="140"/>
    </row>
    <row r="133" spans="1:3" ht="14.25" customHeight="1">
      <c r="A133" s="140"/>
      <c r="B133" s="140"/>
      <c r="C133" s="140"/>
    </row>
    <row r="134" spans="1:3" ht="14.25" customHeight="1">
      <c r="A134" s="140"/>
      <c r="B134" s="140"/>
      <c r="C134" s="140"/>
    </row>
    <row r="135" spans="1:3" ht="14.25" customHeight="1">
      <c r="A135" s="140"/>
      <c r="B135" s="140"/>
      <c r="C135" s="140"/>
    </row>
    <row r="136" spans="1:3" ht="14.25" customHeight="1">
      <c r="A136" s="140"/>
      <c r="B136" s="140"/>
      <c r="C136" s="140"/>
    </row>
    <row r="137" spans="1:3" ht="14.25" customHeight="1">
      <c r="A137" s="140"/>
      <c r="B137" s="140"/>
      <c r="C137" s="140"/>
    </row>
    <row r="138" spans="1:3" ht="14.25" customHeight="1">
      <c r="A138" s="140"/>
      <c r="B138" s="140"/>
      <c r="C138" s="140"/>
    </row>
    <row r="139" spans="1:3" ht="14.25" customHeight="1">
      <c r="A139" s="140"/>
      <c r="B139" s="140"/>
      <c r="C139" s="140"/>
    </row>
    <row r="140" spans="1:3" ht="14.25" customHeight="1">
      <c r="A140" s="140"/>
      <c r="B140" s="140"/>
      <c r="C140" s="140"/>
    </row>
    <row r="141" spans="1:3" ht="14.25" customHeight="1">
      <c r="A141" s="140"/>
      <c r="B141" s="140"/>
      <c r="C141" s="140"/>
    </row>
    <row r="142" spans="1:3" ht="14.25" customHeight="1">
      <c r="A142" s="140"/>
      <c r="B142" s="140"/>
      <c r="C142" s="140"/>
    </row>
    <row r="143" spans="1:3" ht="14.25" customHeight="1">
      <c r="A143" s="140"/>
      <c r="B143" s="140"/>
      <c r="C143" s="140"/>
    </row>
    <row r="144" spans="1:3" ht="14.25" customHeight="1">
      <c r="A144" s="140"/>
      <c r="B144" s="140"/>
      <c r="C144" s="140"/>
    </row>
    <row r="145" spans="1:3" ht="14.25" customHeight="1">
      <c r="A145" s="140"/>
      <c r="B145" s="140"/>
      <c r="C145" s="140"/>
    </row>
    <row r="146" spans="1:3" ht="14.25" customHeight="1">
      <c r="A146" s="140"/>
      <c r="B146" s="140"/>
      <c r="C146" s="140"/>
    </row>
    <row r="147" spans="1:3" ht="14.25" customHeight="1">
      <c r="A147" s="140"/>
      <c r="B147" s="140"/>
      <c r="C147" s="140"/>
    </row>
    <row r="148" spans="1:3" ht="14.25" customHeight="1">
      <c r="A148" s="140"/>
      <c r="B148" s="140"/>
      <c r="C148" s="140"/>
    </row>
    <row r="149" spans="1:3" ht="14.25" customHeight="1">
      <c r="A149" s="140"/>
      <c r="B149" s="140"/>
      <c r="C149" s="140"/>
    </row>
    <row r="150" spans="1:3" ht="14.25" customHeight="1">
      <c r="A150" s="140"/>
      <c r="B150" s="140"/>
      <c r="C150" s="140"/>
    </row>
    <row r="151" spans="1:3" ht="14.25" customHeight="1">
      <c r="A151" s="140"/>
      <c r="B151" s="140"/>
      <c r="C151" s="140"/>
    </row>
    <row r="152" spans="1:3" ht="14.25" customHeight="1">
      <c r="A152" s="140"/>
      <c r="B152" s="140"/>
      <c r="C152" s="140"/>
    </row>
    <row r="153" spans="1:3" ht="14.25" customHeight="1">
      <c r="A153" s="140"/>
      <c r="B153" s="140"/>
      <c r="C153" s="140"/>
    </row>
    <row r="154" spans="1:3" ht="14.25" customHeight="1">
      <c r="A154" s="140"/>
      <c r="B154" s="140"/>
      <c r="C154" s="140"/>
    </row>
    <row r="155" spans="1:3" ht="14.25" customHeight="1">
      <c r="A155" s="140"/>
      <c r="B155" s="140"/>
      <c r="C155" s="140"/>
    </row>
    <row r="156" spans="1:3" ht="14.25" customHeight="1">
      <c r="A156" s="140"/>
      <c r="B156" s="140"/>
      <c r="C156" s="140"/>
    </row>
    <row r="157" spans="1:3" ht="14.25" customHeight="1">
      <c r="A157" s="140"/>
      <c r="B157" s="140"/>
      <c r="C157" s="140"/>
    </row>
    <row r="158" spans="1:3" ht="14.25" customHeight="1">
      <c r="A158" s="140"/>
      <c r="B158" s="140"/>
      <c r="C158" s="140"/>
    </row>
    <row r="159" spans="1:3" ht="14.25" customHeight="1">
      <c r="A159" s="140"/>
      <c r="B159" s="140"/>
      <c r="C159" s="140"/>
    </row>
    <row r="160" spans="1:3" ht="14.25" customHeight="1">
      <c r="A160" s="140"/>
      <c r="B160" s="140"/>
      <c r="C160" s="140"/>
    </row>
    <row r="161" spans="1:3" ht="14.25" customHeight="1">
      <c r="A161" s="140"/>
      <c r="B161" s="140"/>
      <c r="C161" s="140"/>
    </row>
    <row r="162" spans="1:3" ht="14.25" customHeight="1">
      <c r="A162" s="140"/>
      <c r="B162" s="140"/>
      <c r="C162" s="140"/>
    </row>
    <row r="163" spans="1:3" ht="14.25" customHeight="1">
      <c r="A163" s="140"/>
      <c r="B163" s="140"/>
      <c r="C163" s="140"/>
    </row>
    <row r="164" spans="1:3" ht="14.25" customHeight="1">
      <c r="A164" s="140"/>
      <c r="B164" s="140"/>
      <c r="C164" s="140"/>
    </row>
    <row r="165" spans="1:3" ht="14.25" customHeight="1">
      <c r="A165" s="140"/>
      <c r="B165" s="140"/>
      <c r="C165" s="140"/>
    </row>
    <row r="166" spans="1:3" ht="14.25" customHeight="1">
      <c r="A166" s="140"/>
      <c r="B166" s="140"/>
      <c r="C166" s="140"/>
    </row>
    <row r="167" spans="1:3" ht="14.25" customHeight="1">
      <c r="A167" s="140"/>
      <c r="B167" s="140"/>
      <c r="C167" s="140"/>
    </row>
    <row r="168" spans="1:3" ht="14.25" customHeight="1">
      <c r="A168" s="140"/>
      <c r="B168" s="140"/>
      <c r="C168" s="140"/>
    </row>
    <row r="169" spans="1:3" ht="14.25" customHeight="1">
      <c r="A169" s="140"/>
      <c r="B169" s="140"/>
      <c r="C169" s="140"/>
    </row>
    <row r="170" spans="1:3" ht="14.25" customHeight="1">
      <c r="A170" s="140"/>
      <c r="B170" s="140"/>
      <c r="C170" s="140"/>
    </row>
    <row r="171" spans="1:3" ht="14.25" customHeight="1">
      <c r="A171" s="140"/>
      <c r="B171" s="140"/>
      <c r="C171" s="140"/>
    </row>
    <row r="172" spans="1:3" ht="14.25" customHeight="1">
      <c r="A172" s="140"/>
      <c r="B172" s="140"/>
      <c r="C172" s="140"/>
    </row>
    <row r="173" spans="1:3" ht="14.25" customHeight="1">
      <c r="A173" s="140"/>
      <c r="B173" s="140"/>
      <c r="C173" s="140"/>
    </row>
    <row r="174" spans="1:3" ht="14.25" customHeight="1">
      <c r="A174" s="140"/>
      <c r="B174" s="140"/>
      <c r="C174" s="140"/>
    </row>
    <row r="175" spans="1:3" ht="14.25" customHeight="1">
      <c r="A175" s="140"/>
      <c r="B175" s="140"/>
      <c r="C175" s="140"/>
    </row>
    <row r="176" spans="1:3" ht="14.25" customHeight="1">
      <c r="A176" s="140"/>
      <c r="B176" s="140"/>
      <c r="C176" s="140"/>
    </row>
    <row r="177" spans="1:3" ht="14.25" customHeight="1">
      <c r="A177" s="140"/>
      <c r="B177" s="140"/>
      <c r="C177" s="140"/>
    </row>
    <row r="178" spans="1:3" ht="14.25" customHeight="1">
      <c r="A178" s="140"/>
      <c r="B178" s="140"/>
      <c r="C178" s="140"/>
    </row>
    <row r="179" spans="1:3" ht="14.25" customHeight="1">
      <c r="A179" s="140"/>
      <c r="B179" s="140"/>
      <c r="C179" s="140"/>
    </row>
    <row r="180" spans="1:3" ht="14.25" customHeight="1">
      <c r="A180" s="140"/>
      <c r="B180" s="140"/>
      <c r="C180" s="140"/>
    </row>
    <row r="181" spans="1:3" ht="14.25" customHeight="1">
      <c r="A181" s="140"/>
      <c r="B181" s="140"/>
      <c r="C181" s="140"/>
    </row>
    <row r="182" spans="1:3" ht="14.25" customHeight="1">
      <c r="A182" s="140"/>
      <c r="B182" s="140"/>
      <c r="C182" s="140"/>
    </row>
    <row r="183" spans="1:3" ht="14.25" customHeight="1">
      <c r="A183" s="140"/>
      <c r="B183" s="140"/>
      <c r="C183" s="140"/>
    </row>
    <row r="184" spans="1:3" ht="14.25" customHeight="1"/>
    <row r="185" spans="1:3" ht="14.25" customHeight="1"/>
    <row r="186" spans="1:3" ht="14.25" customHeight="1"/>
    <row r="187" spans="1:3" ht="14.25" customHeight="1"/>
    <row r="188" spans="1:3" ht="14.25" customHeight="1"/>
    <row r="189" spans="1:3" ht="14.25" customHeight="1"/>
    <row r="190" spans="1:3" ht="14.25" customHeight="1"/>
    <row r="191" spans="1:3" ht="14.25" customHeight="1"/>
    <row r="192" spans="1:3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A1:N1"/>
    <mergeCell ref="A2:N2"/>
    <mergeCell ref="A3:N3"/>
  </mergeCells>
  <conditionalFormatting sqref="L6:L114">
    <cfRule type="colorScale" priority="1">
      <colorScale>
        <cfvo type="formula" val="0"/>
        <cfvo type="formula" val="20"/>
        <cfvo type="formula" val="40"/>
        <color rgb="FFFF4444"/>
        <color rgb="FFFFFF00"/>
        <color rgb="FF00B050"/>
      </colorScale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showGridLines="0" tabSelected="1" workbookViewId="0">
      <pane xSplit="3" ySplit="5" topLeftCell="D50" activePane="bottomRight" state="frozen"/>
      <selection pane="topRight" activeCell="D1" sqref="D1"/>
      <selection pane="bottomLeft" activeCell="A6" sqref="A6"/>
      <selection pane="bottomRight" activeCell="D31" sqref="D31"/>
    </sheetView>
  </sheetViews>
  <sheetFormatPr defaultColWidth="14.453125" defaultRowHeight="15" customHeight="1"/>
  <cols>
    <col min="1" max="1" width="22" customWidth="1"/>
    <col min="2" max="2" width="14" customWidth="1"/>
    <col min="3" max="3" width="23.08984375" customWidth="1"/>
    <col min="4" max="4" width="14" customWidth="1"/>
    <col min="5" max="6" width="18" customWidth="1"/>
    <col min="7" max="7" width="10" customWidth="1"/>
    <col min="8" max="8" width="18" customWidth="1"/>
    <col min="9" max="9" width="12" customWidth="1"/>
    <col min="10" max="10" width="16" customWidth="1"/>
    <col min="11" max="26" width="8.54296875" customWidth="1"/>
  </cols>
  <sheetData>
    <row r="1" spans="1:14" ht="30" customHeight="1">
      <c r="A1" s="178" t="s">
        <v>163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</row>
    <row r="2" spans="1:14" ht="15.75" customHeight="1">
      <c r="A2" s="169" t="s">
        <v>164</v>
      </c>
      <c r="B2" s="149"/>
      <c r="C2" s="149"/>
      <c r="D2" s="149"/>
      <c r="E2" s="149"/>
      <c r="F2" s="149"/>
      <c r="G2" s="149"/>
      <c r="H2" s="149"/>
      <c r="I2" s="149"/>
      <c r="J2" s="150"/>
    </row>
    <row r="3" spans="1:14" ht="15.75" customHeight="1">
      <c r="A3" s="220" t="s">
        <v>165</v>
      </c>
      <c r="B3" s="149"/>
      <c r="C3" s="149"/>
      <c r="D3" s="149"/>
      <c r="E3" s="149"/>
      <c r="F3" s="149"/>
      <c r="G3" s="149"/>
      <c r="H3" s="149"/>
      <c r="I3" s="149"/>
      <c r="J3" s="150"/>
    </row>
    <row r="4" spans="1:14" ht="19.5" customHeight="1">
      <c r="A4" s="48" t="s">
        <v>95</v>
      </c>
      <c r="B4" s="49"/>
      <c r="C4" s="49"/>
      <c r="D4" s="78">
        <v>60</v>
      </c>
      <c r="E4" s="79" t="s">
        <v>167</v>
      </c>
      <c r="F4" s="79" t="s">
        <v>167</v>
      </c>
      <c r="G4" s="49"/>
      <c r="H4" s="49"/>
      <c r="I4" s="49"/>
      <c r="J4" s="49"/>
    </row>
    <row r="5" spans="1:14" ht="27.75" customHeight="1">
      <c r="A5" s="1" t="s">
        <v>41</v>
      </c>
      <c r="B5" s="1" t="s">
        <v>43</v>
      </c>
      <c r="C5" s="1" t="s">
        <v>44</v>
      </c>
      <c r="D5" s="1" t="s">
        <v>131</v>
      </c>
      <c r="E5" s="1" t="s">
        <v>168</v>
      </c>
      <c r="F5" s="1" t="s">
        <v>169</v>
      </c>
      <c r="G5" s="1" t="s">
        <v>170</v>
      </c>
      <c r="H5" s="1" t="s">
        <v>171</v>
      </c>
      <c r="I5" s="1" t="s">
        <v>172</v>
      </c>
      <c r="J5" s="1" t="s">
        <v>15</v>
      </c>
    </row>
    <row r="6" spans="1:14" ht="18" customHeight="1">
      <c r="A6" s="80" t="s">
        <v>110</v>
      </c>
      <c r="B6" s="55" t="str">
        <f>IFERROR(VLOOKUP(A6,'👥 All Students'!$A:$C,2,0),"")</f>
        <v/>
      </c>
      <c r="C6" s="55" t="str">
        <f>IFERROR(VLOOKUP(A6,'👥 All Students'!$A:$C,3,0),"")</f>
        <v/>
      </c>
      <c r="D6" s="81"/>
      <c r="E6" s="82" t="s">
        <v>177</v>
      </c>
      <c r="F6" s="83" t="s">
        <v>177</v>
      </c>
      <c r="G6" s="60" t="str">
        <f t="shared" ref="G6:G142" si="0">IF(D6="","",TEXT(D6/60,"0%"))</f>
        <v/>
      </c>
      <c r="H6" s="85" t="str">
        <f t="shared" ref="H6:H142" si="1">IF(AND(E6="",F6=""),"—",IF(AND(E6="Attended",F6="Attended"),"✅ Both Attended",IF(OR(E6="Attended",F6="Attended"),"⚠️ Partial","❌ Not Attended")))</f>
        <v>❌ Not Attended</v>
      </c>
      <c r="I6" s="85" t="str">
        <f t="shared" ref="I6:I142" si="2">IF(D6="","—",IF(D6&gt;=30,"✅ Pass","❌ Fail"))</f>
        <v>—</v>
      </c>
      <c r="J6" s="8"/>
    </row>
    <row r="7" spans="1:14" ht="18" customHeight="1">
      <c r="A7" s="80" t="s">
        <v>71</v>
      </c>
      <c r="B7" s="61">
        <f>IFERROR(VLOOKUP(A7,'👥 All Students'!$A:$C,2,0),"")</f>
        <v>0</v>
      </c>
      <c r="C7" s="61">
        <f>IFERROR(VLOOKUP(A7,'👥 All Students'!$A:$C,3,0),"")</f>
        <v>0</v>
      </c>
      <c r="D7" s="82">
        <v>51</v>
      </c>
      <c r="E7" s="82" t="s">
        <v>180</v>
      </c>
      <c r="F7" s="82" t="s">
        <v>181</v>
      </c>
      <c r="G7" s="60" t="str">
        <f t="shared" si="0"/>
        <v>85%</v>
      </c>
      <c r="H7" s="85" t="str">
        <f t="shared" si="1"/>
        <v>⚠️ Partial</v>
      </c>
      <c r="I7" s="85" t="str">
        <f t="shared" si="2"/>
        <v>✅ Pass</v>
      </c>
      <c r="J7" s="15"/>
    </row>
    <row r="8" spans="1:14" ht="18" customHeight="1">
      <c r="A8" s="80" t="s">
        <v>75</v>
      </c>
      <c r="B8" s="69">
        <f>IFERROR(VLOOKUP(A8,'👥 All Students'!$A:$C,2,0),"")</f>
        <v>0</v>
      </c>
      <c r="C8" s="69">
        <f>IFERROR(VLOOKUP(A8,'👥 All Students'!$A:$C,3,0),"")</f>
        <v>0</v>
      </c>
      <c r="D8" s="86">
        <v>51</v>
      </c>
      <c r="E8" s="82" t="s">
        <v>180</v>
      </c>
      <c r="F8" s="86" t="s">
        <v>181</v>
      </c>
      <c r="G8" s="60" t="str">
        <f t="shared" si="0"/>
        <v>85%</v>
      </c>
      <c r="H8" s="85" t="str">
        <f t="shared" si="1"/>
        <v>⚠️ Partial</v>
      </c>
      <c r="I8" s="85" t="str">
        <f t="shared" si="2"/>
        <v>✅ Pass</v>
      </c>
      <c r="J8" s="8"/>
    </row>
    <row r="9" spans="1:14" ht="18" customHeight="1">
      <c r="A9" s="80" t="s">
        <v>81</v>
      </c>
      <c r="B9" s="61">
        <f>IFERROR(VLOOKUP(A9,'👥 All Students'!$A:$C,2,0),"")</f>
        <v>0</v>
      </c>
      <c r="C9" s="61">
        <f>IFERROR(VLOOKUP(A9,'👥 All Students'!$A:$C,3,0),"")</f>
        <v>0</v>
      </c>
      <c r="D9" s="86">
        <v>51</v>
      </c>
      <c r="E9" s="82" t="s">
        <v>180</v>
      </c>
      <c r="F9" s="86" t="s">
        <v>181</v>
      </c>
      <c r="G9" s="60" t="str">
        <f t="shared" si="0"/>
        <v>85%</v>
      </c>
      <c r="H9" s="85" t="str">
        <f t="shared" si="1"/>
        <v>⚠️ Partial</v>
      </c>
      <c r="I9" s="85" t="str">
        <f t="shared" si="2"/>
        <v>✅ Pass</v>
      </c>
      <c r="J9" s="15"/>
    </row>
    <row r="10" spans="1:14" ht="18" customHeight="1">
      <c r="A10" s="80" t="s">
        <v>84</v>
      </c>
      <c r="B10" s="69">
        <f>IFERROR(VLOOKUP(A10,'👥 All Students'!$A:$C,2,0),"")</f>
        <v>0</v>
      </c>
      <c r="C10" s="69">
        <f>IFERROR(VLOOKUP(A10,'👥 All Students'!$A:$C,3,0),"")</f>
        <v>0</v>
      </c>
      <c r="D10" s="86">
        <v>51</v>
      </c>
      <c r="E10" s="82" t="s">
        <v>180</v>
      </c>
      <c r="F10" s="86" t="s">
        <v>181</v>
      </c>
      <c r="G10" s="60" t="str">
        <f t="shared" si="0"/>
        <v>85%</v>
      </c>
      <c r="H10" s="85" t="str">
        <f t="shared" si="1"/>
        <v>⚠️ Partial</v>
      </c>
      <c r="I10" s="85" t="str">
        <f t="shared" si="2"/>
        <v>✅ Pass</v>
      </c>
      <c r="J10" s="8"/>
    </row>
    <row r="11" spans="1:14" ht="18" customHeight="1">
      <c r="A11" s="80" t="s">
        <v>86</v>
      </c>
      <c r="B11" s="61">
        <f>IFERROR(VLOOKUP(A11,'👥 All Students'!$A:$C,2,0),"")</f>
        <v>0</v>
      </c>
      <c r="C11" s="61">
        <f>IFERROR(VLOOKUP(A11,'👥 All Students'!$A:$C,3,0),"")</f>
        <v>0</v>
      </c>
      <c r="D11" s="86">
        <v>51</v>
      </c>
      <c r="E11" s="82" t="s">
        <v>181</v>
      </c>
      <c r="F11" s="86" t="s">
        <v>181</v>
      </c>
      <c r="G11" s="60" t="str">
        <f t="shared" si="0"/>
        <v>85%</v>
      </c>
      <c r="H11" s="85" t="str">
        <f t="shared" si="1"/>
        <v>❌ Not Attended</v>
      </c>
      <c r="I11" s="85" t="str">
        <f t="shared" si="2"/>
        <v>✅ Pass</v>
      </c>
      <c r="J11" s="15"/>
    </row>
    <row r="12" spans="1:14" ht="18" customHeight="1">
      <c r="A12" s="80" t="s">
        <v>87</v>
      </c>
      <c r="B12" s="69">
        <f>IFERROR(VLOOKUP(A12,'👥 All Students'!$A:$C,2,0),"")</f>
        <v>0</v>
      </c>
      <c r="C12" s="69">
        <f>IFERROR(VLOOKUP(A12,'👥 All Students'!$A:$C,3,0),"")</f>
        <v>0</v>
      </c>
      <c r="D12" s="86">
        <v>51</v>
      </c>
      <c r="E12" s="82" t="s">
        <v>180</v>
      </c>
      <c r="F12" s="86" t="s">
        <v>181</v>
      </c>
      <c r="G12" s="60" t="str">
        <f t="shared" si="0"/>
        <v>85%</v>
      </c>
      <c r="H12" s="85" t="str">
        <f t="shared" si="1"/>
        <v>⚠️ Partial</v>
      </c>
      <c r="I12" s="85" t="str">
        <f t="shared" si="2"/>
        <v>✅ Pass</v>
      </c>
      <c r="J12" s="8"/>
    </row>
    <row r="13" spans="1:14" ht="18" customHeight="1">
      <c r="A13" s="80" t="s">
        <v>88</v>
      </c>
      <c r="B13" s="61">
        <f>IFERROR(VLOOKUP(A13,'👥 All Students'!$A:$C,2,0),"")</f>
        <v>0</v>
      </c>
      <c r="C13" s="61">
        <f>IFERROR(VLOOKUP(A13,'👥 All Students'!$A:$C,3,0),"")</f>
        <v>0</v>
      </c>
      <c r="D13" s="86">
        <v>51</v>
      </c>
      <c r="E13" s="82" t="s">
        <v>180</v>
      </c>
      <c r="F13" s="86" t="s">
        <v>181</v>
      </c>
      <c r="G13" s="60" t="str">
        <f t="shared" si="0"/>
        <v>85%</v>
      </c>
      <c r="H13" s="85" t="str">
        <f t="shared" si="1"/>
        <v>⚠️ Partial</v>
      </c>
      <c r="I13" s="85" t="str">
        <f t="shared" si="2"/>
        <v>✅ Pass</v>
      </c>
      <c r="J13" s="15"/>
    </row>
    <row r="14" spans="1:14" ht="18" customHeight="1">
      <c r="A14" s="80" t="s">
        <v>89</v>
      </c>
      <c r="B14" s="69">
        <f>IFERROR(VLOOKUP(A14,'👥 All Students'!$A:$C,2,0),"")</f>
        <v>0</v>
      </c>
      <c r="C14" s="69">
        <f>IFERROR(VLOOKUP(A14,'👥 All Students'!$A:$C,3,0),"")</f>
        <v>0</v>
      </c>
      <c r="D14" s="86">
        <v>51</v>
      </c>
      <c r="E14" s="82" t="s">
        <v>180</v>
      </c>
      <c r="F14" s="86" t="s">
        <v>181</v>
      </c>
      <c r="G14" s="60" t="str">
        <f t="shared" si="0"/>
        <v>85%</v>
      </c>
      <c r="H14" s="85" t="str">
        <f t="shared" si="1"/>
        <v>⚠️ Partial</v>
      </c>
      <c r="I14" s="85" t="str">
        <f t="shared" si="2"/>
        <v>✅ Pass</v>
      </c>
      <c r="J14" s="8"/>
    </row>
    <row r="15" spans="1:14" ht="18" customHeight="1">
      <c r="A15" s="80" t="s">
        <v>94</v>
      </c>
      <c r="B15" s="61">
        <f>IFERROR(VLOOKUP(A15,'👥 All Students'!$A:$C,2,0),"")</f>
        <v>0</v>
      </c>
      <c r="C15" s="61">
        <f>IFERROR(VLOOKUP(A15,'👥 All Students'!$A:$C,3,0),"")</f>
        <v>0</v>
      </c>
      <c r="D15" s="86">
        <v>51</v>
      </c>
      <c r="E15" s="82" t="s">
        <v>180</v>
      </c>
      <c r="F15" s="86" t="s">
        <v>181</v>
      </c>
      <c r="G15" s="60" t="str">
        <f t="shared" si="0"/>
        <v>85%</v>
      </c>
      <c r="H15" s="85" t="str">
        <f t="shared" si="1"/>
        <v>⚠️ Partial</v>
      </c>
      <c r="I15" s="85" t="str">
        <f t="shared" si="2"/>
        <v>✅ Pass</v>
      </c>
      <c r="J15" s="15"/>
    </row>
    <row r="16" spans="1:14" ht="18" customHeight="1">
      <c r="A16" s="80" t="s">
        <v>97</v>
      </c>
      <c r="B16" s="69">
        <f>IFERROR(VLOOKUP(A16,'👥 All Students'!$A:$C,2,0),"")</f>
        <v>0</v>
      </c>
      <c r="C16" s="69">
        <f>IFERROR(VLOOKUP(A16,'👥 All Students'!$A:$C,3,0),"")</f>
        <v>0</v>
      </c>
      <c r="D16" s="86">
        <v>51</v>
      </c>
      <c r="E16" s="82" t="s">
        <v>180</v>
      </c>
      <c r="F16" s="86" t="s">
        <v>181</v>
      </c>
      <c r="G16" s="60" t="str">
        <f t="shared" si="0"/>
        <v>85%</v>
      </c>
      <c r="H16" s="85" t="str">
        <f t="shared" si="1"/>
        <v>⚠️ Partial</v>
      </c>
      <c r="I16" s="85" t="str">
        <f t="shared" si="2"/>
        <v>✅ Pass</v>
      </c>
      <c r="J16" s="8"/>
    </row>
    <row r="17" spans="1:10" ht="18" customHeight="1">
      <c r="A17" s="80" t="s">
        <v>111</v>
      </c>
      <c r="B17" s="61">
        <f>IFERROR(VLOOKUP(A17,'👥 All Students'!$A:$C,2,0),"")</f>
        <v>0</v>
      </c>
      <c r="C17" s="61">
        <f>IFERROR(VLOOKUP(A17,'👥 All Students'!$A:$C,3,0),"")</f>
        <v>0</v>
      </c>
      <c r="D17" s="86">
        <v>51</v>
      </c>
      <c r="E17" s="82" t="s">
        <v>180</v>
      </c>
      <c r="F17" s="86" t="s">
        <v>181</v>
      </c>
      <c r="G17" s="60" t="str">
        <f t="shared" si="0"/>
        <v>85%</v>
      </c>
      <c r="H17" s="85" t="str">
        <f t="shared" si="1"/>
        <v>⚠️ Partial</v>
      </c>
      <c r="I17" s="85" t="str">
        <f t="shared" si="2"/>
        <v>✅ Pass</v>
      </c>
      <c r="J17" s="15"/>
    </row>
    <row r="18" spans="1:10" ht="15.75" customHeight="1">
      <c r="A18" s="80" t="s">
        <v>117</v>
      </c>
      <c r="B18" s="68">
        <f>IFERROR(VLOOKUP(A18,'👥 All Students'!$A:$C,2,0),"")</f>
        <v>0</v>
      </c>
      <c r="C18" s="68">
        <f>IFERROR(VLOOKUP(A18,'👥 All Students'!$A:$C,3,0),"")</f>
        <v>0</v>
      </c>
      <c r="D18" s="86">
        <v>51</v>
      </c>
      <c r="E18" s="82" t="s">
        <v>180</v>
      </c>
      <c r="F18" s="86" t="s">
        <v>181</v>
      </c>
      <c r="G18" s="60" t="str">
        <f t="shared" si="0"/>
        <v>85%</v>
      </c>
      <c r="H18" s="85" t="str">
        <f t="shared" si="1"/>
        <v>⚠️ Partial</v>
      </c>
      <c r="I18" s="85" t="str">
        <f t="shared" si="2"/>
        <v>✅ Pass</v>
      </c>
      <c r="J18" s="8"/>
    </row>
    <row r="19" spans="1:10" ht="15.75" customHeight="1">
      <c r="A19" s="80" t="s">
        <v>124</v>
      </c>
      <c r="B19" s="62">
        <f>IFERROR(VLOOKUP(A19,'👥 All Students'!$A:$C,2,0),"")</f>
        <v>0</v>
      </c>
      <c r="C19" s="62">
        <f>IFERROR(VLOOKUP(A19,'👥 All Students'!$A:$C,3,0),"")</f>
        <v>0</v>
      </c>
      <c r="D19" s="88">
        <v>43</v>
      </c>
      <c r="E19" s="82" t="s">
        <v>180</v>
      </c>
      <c r="F19" s="88" t="s">
        <v>181</v>
      </c>
      <c r="G19" s="60" t="str">
        <f t="shared" si="0"/>
        <v>72%</v>
      </c>
      <c r="H19" s="85" t="str">
        <f t="shared" si="1"/>
        <v>⚠️ Partial</v>
      </c>
      <c r="I19" s="85" t="str">
        <f t="shared" si="2"/>
        <v>✅ Pass</v>
      </c>
      <c r="J19" s="15"/>
    </row>
    <row r="20" spans="1:10" ht="15.75" customHeight="1">
      <c r="A20" s="80" t="s">
        <v>132</v>
      </c>
      <c r="B20" s="68">
        <f>IFERROR(VLOOKUP(A20,'👥 All Students'!$A:$C,2,0),"")</f>
        <v>0</v>
      </c>
      <c r="C20" s="68">
        <f>IFERROR(VLOOKUP(A20,'👥 All Students'!$A:$C,3,0),"")</f>
        <v>0</v>
      </c>
      <c r="D20" s="88">
        <v>29</v>
      </c>
      <c r="E20" s="82" t="s">
        <v>180</v>
      </c>
      <c r="F20" s="88" t="s">
        <v>181</v>
      </c>
      <c r="G20" s="60" t="str">
        <f t="shared" si="0"/>
        <v>48%</v>
      </c>
      <c r="H20" s="85" t="str">
        <f t="shared" si="1"/>
        <v>⚠️ Partial</v>
      </c>
      <c r="I20" s="85" t="str">
        <f t="shared" si="2"/>
        <v>❌ Fail</v>
      </c>
      <c r="J20" s="8"/>
    </row>
    <row r="21" spans="1:10" ht="15.75" customHeight="1">
      <c r="A21" s="80" t="s">
        <v>143</v>
      </c>
      <c r="B21" s="62">
        <f>IFERROR(VLOOKUP(A21,'👥 All Students'!$A:$C,2,0),"")</f>
        <v>0</v>
      </c>
      <c r="C21" s="62">
        <f>IFERROR(VLOOKUP(A21,'👥 All Students'!$A:$C,3,0),"")</f>
        <v>0</v>
      </c>
      <c r="D21" s="88">
        <v>35.5</v>
      </c>
      <c r="E21" s="82" t="s">
        <v>180</v>
      </c>
      <c r="F21" s="88" t="s">
        <v>181</v>
      </c>
      <c r="G21" s="60" t="str">
        <f t="shared" si="0"/>
        <v>59%</v>
      </c>
      <c r="H21" s="85" t="str">
        <f t="shared" si="1"/>
        <v>⚠️ Partial</v>
      </c>
      <c r="I21" s="85" t="str">
        <f t="shared" si="2"/>
        <v>✅ Pass</v>
      </c>
      <c r="J21" s="15"/>
    </row>
    <row r="22" spans="1:10" ht="15.75" customHeight="1">
      <c r="A22" s="80" t="s">
        <v>148</v>
      </c>
      <c r="B22" s="68">
        <f>IFERROR(VLOOKUP(A22,'👥 All Students'!$A:$C,2,0),"")</f>
        <v>0</v>
      </c>
      <c r="C22" s="68">
        <f>IFERROR(VLOOKUP(A22,'👥 All Students'!$A:$C,3,0),"")</f>
        <v>0</v>
      </c>
      <c r="D22" s="88">
        <v>36.5</v>
      </c>
      <c r="E22" s="82" t="s">
        <v>180</v>
      </c>
      <c r="F22" s="88" t="s">
        <v>181</v>
      </c>
      <c r="G22" s="60" t="str">
        <f t="shared" si="0"/>
        <v>61%</v>
      </c>
      <c r="H22" s="85" t="str">
        <f t="shared" si="1"/>
        <v>⚠️ Partial</v>
      </c>
      <c r="I22" s="85" t="str">
        <f t="shared" si="2"/>
        <v>✅ Pass</v>
      </c>
      <c r="J22" s="8"/>
    </row>
    <row r="23" spans="1:10" ht="15.75" customHeight="1">
      <c r="A23" s="80" t="s">
        <v>150</v>
      </c>
      <c r="B23" s="62">
        <f>IFERROR(VLOOKUP(A23,'👥 All Students'!$A:$C,2,0),"")</f>
        <v>0</v>
      </c>
      <c r="C23" s="62">
        <f>IFERROR(VLOOKUP(A23,'👥 All Students'!$A:$C,3,0),"")</f>
        <v>0</v>
      </c>
      <c r="D23" s="88">
        <v>34</v>
      </c>
      <c r="E23" s="82" t="s">
        <v>180</v>
      </c>
      <c r="F23" s="88" t="s">
        <v>181</v>
      </c>
      <c r="G23" s="60" t="str">
        <f t="shared" si="0"/>
        <v>57%</v>
      </c>
      <c r="H23" s="85" t="str">
        <f t="shared" si="1"/>
        <v>⚠️ Partial</v>
      </c>
      <c r="I23" s="85" t="str">
        <f t="shared" si="2"/>
        <v>✅ Pass</v>
      </c>
      <c r="J23" s="15"/>
    </row>
    <row r="24" spans="1:10" ht="15.75" customHeight="1">
      <c r="A24" s="80" t="s">
        <v>153</v>
      </c>
      <c r="B24" s="68">
        <f>IFERROR(VLOOKUP(A24,'👥 All Students'!$A:$C,2,0),"")</f>
        <v>0</v>
      </c>
      <c r="C24" s="68">
        <f>IFERROR(VLOOKUP(A24,'👥 All Students'!$A:$C,3,0),"")</f>
        <v>0</v>
      </c>
      <c r="D24" s="88">
        <v>39.5</v>
      </c>
      <c r="E24" s="82" t="s">
        <v>180</v>
      </c>
      <c r="F24" s="88" t="s">
        <v>181</v>
      </c>
      <c r="G24" s="60" t="str">
        <f t="shared" si="0"/>
        <v>66%</v>
      </c>
      <c r="H24" s="85" t="str">
        <f t="shared" si="1"/>
        <v>⚠️ Partial</v>
      </c>
      <c r="I24" s="85" t="str">
        <f t="shared" si="2"/>
        <v>✅ Pass</v>
      </c>
      <c r="J24" s="8"/>
    </row>
    <row r="25" spans="1:10" ht="15.75" customHeight="1">
      <c r="A25" s="80" t="s">
        <v>154</v>
      </c>
      <c r="B25" s="62">
        <f>IFERROR(VLOOKUP(A25,'👥 All Students'!$A:$C,2,0),"")</f>
        <v>0</v>
      </c>
      <c r="C25" s="62">
        <f>IFERROR(VLOOKUP(A25,'👥 All Students'!$A:$C,3,0),"")</f>
        <v>0</v>
      </c>
      <c r="D25" s="88">
        <v>28</v>
      </c>
      <c r="E25" s="82" t="s">
        <v>181</v>
      </c>
      <c r="F25" s="88" t="s">
        <v>181</v>
      </c>
      <c r="G25" s="60" t="str">
        <f t="shared" si="0"/>
        <v>47%</v>
      </c>
      <c r="H25" s="85" t="str">
        <f t="shared" si="1"/>
        <v>❌ Not Attended</v>
      </c>
      <c r="I25" s="85" t="str">
        <f t="shared" si="2"/>
        <v>❌ Fail</v>
      </c>
      <c r="J25" s="15"/>
    </row>
    <row r="26" spans="1:10" ht="15.75" customHeight="1">
      <c r="A26" s="80" t="s">
        <v>155</v>
      </c>
      <c r="B26" s="68">
        <f>IFERROR(VLOOKUP(A26,'👥 All Students'!$A:$C,2,0),"")</f>
        <v>0</v>
      </c>
      <c r="C26" s="68">
        <f>IFERROR(VLOOKUP(A26,'👥 All Students'!$A:$C,3,0),"")</f>
        <v>0</v>
      </c>
      <c r="D26" s="88">
        <v>37</v>
      </c>
      <c r="E26" s="82" t="s">
        <v>180</v>
      </c>
      <c r="F26" s="88" t="s">
        <v>181</v>
      </c>
      <c r="G26" s="60" t="str">
        <f t="shared" si="0"/>
        <v>62%</v>
      </c>
      <c r="H26" s="85" t="str">
        <f t="shared" si="1"/>
        <v>⚠️ Partial</v>
      </c>
      <c r="I26" s="85" t="str">
        <f t="shared" si="2"/>
        <v>✅ Pass</v>
      </c>
      <c r="J26" s="8"/>
    </row>
    <row r="27" spans="1:10" ht="15.75" customHeight="1">
      <c r="A27" s="80" t="s">
        <v>156</v>
      </c>
      <c r="B27" s="62">
        <f>IFERROR(VLOOKUP(A27,'👥 All Students'!$A:$C,2,0),"")</f>
        <v>0</v>
      </c>
      <c r="C27" s="62">
        <f>IFERROR(VLOOKUP(A27,'👥 All Students'!$A:$C,3,0),"")</f>
        <v>0</v>
      </c>
      <c r="D27" s="88">
        <v>45</v>
      </c>
      <c r="E27" s="82" t="s">
        <v>180</v>
      </c>
      <c r="F27" s="88" t="s">
        <v>181</v>
      </c>
      <c r="G27" s="60" t="str">
        <f t="shared" si="0"/>
        <v>75%</v>
      </c>
      <c r="H27" s="85" t="str">
        <f t="shared" si="1"/>
        <v>⚠️ Partial</v>
      </c>
      <c r="I27" s="85" t="str">
        <f t="shared" si="2"/>
        <v>✅ Pass</v>
      </c>
      <c r="J27" s="15"/>
    </row>
    <row r="28" spans="1:10" ht="15.75" customHeight="1">
      <c r="A28" s="80" t="s">
        <v>157</v>
      </c>
      <c r="B28" s="68">
        <f>IFERROR(VLOOKUP(A28,'👥 All Students'!$A:$C,2,0),"")</f>
        <v>0</v>
      </c>
      <c r="C28" s="68">
        <f>IFERROR(VLOOKUP(A28,'👥 All Students'!$A:$C,3,0),"")</f>
        <v>0</v>
      </c>
      <c r="D28" s="90"/>
      <c r="E28" s="82" t="s">
        <v>181</v>
      </c>
      <c r="F28" s="88" t="s">
        <v>181</v>
      </c>
      <c r="G28" s="60" t="str">
        <f t="shared" si="0"/>
        <v/>
      </c>
      <c r="H28" s="85" t="str">
        <f t="shared" si="1"/>
        <v>❌ Not Attended</v>
      </c>
      <c r="I28" s="85" t="str">
        <f t="shared" si="2"/>
        <v>—</v>
      </c>
      <c r="J28" s="8"/>
    </row>
    <row r="29" spans="1:10" ht="15.75" customHeight="1">
      <c r="A29" s="80" t="s">
        <v>158</v>
      </c>
      <c r="B29" s="62">
        <f>IFERROR(VLOOKUP(A29,'👥 All Students'!$A:$C,2,0),"")</f>
        <v>0</v>
      </c>
      <c r="C29" s="62">
        <f>IFERROR(VLOOKUP(A29,'👥 All Students'!$A:$C,3,0),"")</f>
        <v>0</v>
      </c>
      <c r="D29" s="88">
        <v>33.5</v>
      </c>
      <c r="E29" s="82" t="s">
        <v>180</v>
      </c>
      <c r="F29" s="88" t="s">
        <v>181</v>
      </c>
      <c r="G29" s="60" t="str">
        <f t="shared" si="0"/>
        <v>56%</v>
      </c>
      <c r="H29" s="85" t="str">
        <f t="shared" si="1"/>
        <v>⚠️ Partial</v>
      </c>
      <c r="I29" s="85" t="str">
        <f t="shared" si="2"/>
        <v>✅ Pass</v>
      </c>
      <c r="J29" s="15"/>
    </row>
    <row r="30" spans="1:10" ht="15.75" customHeight="1">
      <c r="A30" s="80" t="s">
        <v>159</v>
      </c>
      <c r="B30" s="68">
        <f>IFERROR(VLOOKUP(A30,'👥 All Students'!$A:$C,2,0),"")</f>
        <v>0</v>
      </c>
      <c r="C30" s="68">
        <f>IFERROR(VLOOKUP(A30,'👥 All Students'!$A:$C,3,0),"")</f>
        <v>0</v>
      </c>
      <c r="D30" s="88">
        <v>51</v>
      </c>
      <c r="E30" s="82" t="s">
        <v>180</v>
      </c>
      <c r="F30" s="88" t="s">
        <v>181</v>
      </c>
      <c r="G30" s="60" t="str">
        <f t="shared" si="0"/>
        <v>85%</v>
      </c>
      <c r="H30" s="85" t="str">
        <f t="shared" si="1"/>
        <v>⚠️ Partial</v>
      </c>
      <c r="I30" s="85" t="str">
        <f t="shared" si="2"/>
        <v>✅ Pass</v>
      </c>
      <c r="J30" s="8"/>
    </row>
    <row r="31" spans="1:10" ht="15.75" customHeight="1">
      <c r="A31" s="80" t="s">
        <v>208</v>
      </c>
      <c r="B31" s="62" t="str">
        <f>IFERROR(VLOOKUP(A31,'👥 All Students'!$A:$C,2,0),"")</f>
        <v/>
      </c>
      <c r="C31" s="62" t="str">
        <f>IFERROR(VLOOKUP(A31,'👥 All Students'!$A:$C,3,0),"")</f>
        <v/>
      </c>
      <c r="D31" s="90"/>
      <c r="E31" s="82"/>
      <c r="F31" s="88"/>
      <c r="G31" s="60" t="str">
        <f t="shared" si="0"/>
        <v/>
      </c>
      <c r="H31" s="85" t="str">
        <f t="shared" si="1"/>
        <v>—</v>
      </c>
      <c r="I31" s="85" t="str">
        <f t="shared" si="2"/>
        <v>—</v>
      </c>
      <c r="J31" s="15"/>
    </row>
    <row r="32" spans="1:10" ht="15.75" customHeight="1">
      <c r="A32" s="80" t="s">
        <v>160</v>
      </c>
      <c r="B32" s="68">
        <f>IFERROR(VLOOKUP(A32,'👥 All Students'!$A:$C,2,0),"")</f>
        <v>0</v>
      </c>
      <c r="C32" s="68">
        <f>IFERROR(VLOOKUP(A32,'👥 All Students'!$A:$C,3,0),"")</f>
        <v>0</v>
      </c>
      <c r="D32" s="90"/>
      <c r="E32" s="82" t="s">
        <v>180</v>
      </c>
      <c r="F32" s="88" t="s">
        <v>181</v>
      </c>
      <c r="G32" s="60" t="str">
        <f t="shared" si="0"/>
        <v/>
      </c>
      <c r="H32" s="85" t="str">
        <f t="shared" si="1"/>
        <v>⚠️ Partial</v>
      </c>
      <c r="I32" s="85" t="str">
        <f t="shared" si="2"/>
        <v>—</v>
      </c>
      <c r="J32" s="8"/>
    </row>
    <row r="33" spans="1:10" ht="15.75" customHeight="1">
      <c r="A33" s="80" t="s">
        <v>162</v>
      </c>
      <c r="B33" s="62">
        <f>IFERROR(VLOOKUP(A33,'👥 All Students'!$A:$C,2,0),"")</f>
        <v>0</v>
      </c>
      <c r="C33" s="62">
        <f>IFERROR(VLOOKUP(A33,'👥 All Students'!$A:$C,3,0),"")</f>
        <v>0</v>
      </c>
      <c r="D33" s="88">
        <v>41</v>
      </c>
      <c r="E33" s="82" t="s">
        <v>180</v>
      </c>
      <c r="F33" s="88" t="s">
        <v>181</v>
      </c>
      <c r="G33" s="60" t="str">
        <f t="shared" si="0"/>
        <v>68%</v>
      </c>
      <c r="H33" s="85" t="str">
        <f t="shared" si="1"/>
        <v>⚠️ Partial</v>
      </c>
      <c r="I33" s="85" t="str">
        <f t="shared" si="2"/>
        <v>✅ Pass</v>
      </c>
      <c r="J33" s="15"/>
    </row>
    <row r="34" spans="1:10" ht="15.75" customHeight="1">
      <c r="A34" s="80" t="s">
        <v>166</v>
      </c>
      <c r="B34" s="68">
        <f>IFERROR(VLOOKUP(A34,'👥 All Students'!$A:$C,2,0),"")</f>
        <v>0</v>
      </c>
      <c r="C34" s="68">
        <f>IFERROR(VLOOKUP(A34,'👥 All Students'!$A:$C,3,0),"")</f>
        <v>0</v>
      </c>
      <c r="D34" s="88">
        <v>38.5</v>
      </c>
      <c r="E34" s="88" t="s">
        <v>180</v>
      </c>
      <c r="F34" s="88" t="s">
        <v>181</v>
      </c>
      <c r="G34" s="60" t="str">
        <f t="shared" si="0"/>
        <v>64%</v>
      </c>
      <c r="H34" s="85" t="str">
        <f t="shared" si="1"/>
        <v>⚠️ Partial</v>
      </c>
      <c r="I34" s="85" t="str">
        <f t="shared" si="2"/>
        <v>✅ Pass</v>
      </c>
      <c r="J34" s="8"/>
    </row>
    <row r="35" spans="1:10" ht="15.75" customHeight="1">
      <c r="A35" s="80" t="s">
        <v>173</v>
      </c>
      <c r="B35" s="62">
        <f>IFERROR(VLOOKUP(A35,'👥 All Students'!$A:$C,2,0),"")</f>
        <v>0</v>
      </c>
      <c r="C35" s="62">
        <f>IFERROR(VLOOKUP(A35,'👥 All Students'!$A:$C,3,0),"")</f>
        <v>0</v>
      </c>
      <c r="D35" s="90"/>
      <c r="E35" s="90"/>
      <c r="F35" s="88" t="s">
        <v>181</v>
      </c>
      <c r="G35" s="60" t="str">
        <f t="shared" si="0"/>
        <v/>
      </c>
      <c r="H35" s="85" t="str">
        <f t="shared" si="1"/>
        <v>❌ Not Attended</v>
      </c>
      <c r="I35" s="85" t="str">
        <f t="shared" si="2"/>
        <v>—</v>
      </c>
      <c r="J35" s="15"/>
    </row>
    <row r="36" spans="1:10" ht="15.75" customHeight="1">
      <c r="A36" s="80" t="s">
        <v>175</v>
      </c>
      <c r="B36" s="68">
        <f>IFERROR(VLOOKUP(A36,'👥 All Students'!$A:$C,2,0),"")</f>
        <v>0</v>
      </c>
      <c r="C36" s="68">
        <f>IFERROR(VLOOKUP(A36,'👥 All Students'!$A:$C,3,0),"")</f>
        <v>0</v>
      </c>
      <c r="D36" s="88">
        <v>27</v>
      </c>
      <c r="E36" s="88" t="s">
        <v>180</v>
      </c>
      <c r="F36" s="88" t="s">
        <v>181</v>
      </c>
      <c r="G36" s="60" t="str">
        <f t="shared" si="0"/>
        <v>45%</v>
      </c>
      <c r="H36" s="85" t="str">
        <f t="shared" si="1"/>
        <v>⚠️ Partial</v>
      </c>
      <c r="I36" s="85" t="str">
        <f t="shared" si="2"/>
        <v>❌ Fail</v>
      </c>
      <c r="J36" s="8"/>
    </row>
    <row r="37" spans="1:10" ht="15.75" customHeight="1">
      <c r="A37" s="80" t="s">
        <v>178</v>
      </c>
      <c r="B37" s="62">
        <f>IFERROR(VLOOKUP(A37,'👥 All Students'!$A:$C,2,0),"")</f>
        <v>0</v>
      </c>
      <c r="C37" s="62">
        <f>IFERROR(VLOOKUP(A37,'👥 All Students'!$A:$C,3,0),"")</f>
        <v>0</v>
      </c>
      <c r="D37" s="88">
        <v>21</v>
      </c>
      <c r="E37" s="88" t="s">
        <v>180</v>
      </c>
      <c r="F37" s="88" t="s">
        <v>181</v>
      </c>
      <c r="G37" s="60" t="str">
        <f t="shared" si="0"/>
        <v>35%</v>
      </c>
      <c r="H37" s="85" t="str">
        <f t="shared" si="1"/>
        <v>⚠️ Partial</v>
      </c>
      <c r="I37" s="85" t="str">
        <f t="shared" si="2"/>
        <v>❌ Fail</v>
      </c>
      <c r="J37" s="15"/>
    </row>
    <row r="38" spans="1:10" ht="15.75" customHeight="1">
      <c r="A38" s="80" t="s">
        <v>179</v>
      </c>
      <c r="B38" s="68">
        <f>IFERROR(VLOOKUP(A38,'👥 All Students'!$A:$C,2,0),"")</f>
        <v>0</v>
      </c>
      <c r="C38" s="68">
        <f>IFERROR(VLOOKUP(A38,'👥 All Students'!$A:$C,3,0),"")</f>
        <v>0</v>
      </c>
      <c r="D38" s="90"/>
      <c r="E38" s="90"/>
      <c r="F38" s="88" t="s">
        <v>181</v>
      </c>
      <c r="G38" s="60" t="str">
        <f t="shared" si="0"/>
        <v/>
      </c>
      <c r="H38" s="85" t="str">
        <f t="shared" si="1"/>
        <v>❌ Not Attended</v>
      </c>
      <c r="I38" s="85" t="str">
        <f t="shared" si="2"/>
        <v>—</v>
      </c>
      <c r="J38" s="8"/>
    </row>
    <row r="39" spans="1:10" ht="15.75" customHeight="1">
      <c r="A39" s="80" t="s">
        <v>182</v>
      </c>
      <c r="B39" s="62">
        <f>IFERROR(VLOOKUP(A39,'👥 All Students'!$A:$C,2,0),"")</f>
        <v>0</v>
      </c>
      <c r="C39" s="62">
        <f>IFERROR(VLOOKUP(A39,'👥 All Students'!$A:$C,3,0),"")</f>
        <v>0</v>
      </c>
      <c r="D39" s="88">
        <v>47</v>
      </c>
      <c r="E39" s="88" t="s">
        <v>180</v>
      </c>
      <c r="F39" s="88" t="s">
        <v>181</v>
      </c>
      <c r="G39" s="60" t="str">
        <f t="shared" si="0"/>
        <v>78%</v>
      </c>
      <c r="H39" s="85" t="str">
        <f t="shared" si="1"/>
        <v>⚠️ Partial</v>
      </c>
      <c r="I39" s="85" t="str">
        <f t="shared" si="2"/>
        <v>✅ Pass</v>
      </c>
      <c r="J39" s="15"/>
    </row>
    <row r="40" spans="1:10" ht="15.75" customHeight="1">
      <c r="A40" s="80" t="s">
        <v>185</v>
      </c>
      <c r="B40" s="68">
        <f>IFERROR(VLOOKUP(A40,'👥 All Students'!$A:$C,2,0),"")</f>
        <v>0</v>
      </c>
      <c r="C40" s="68">
        <f>IFERROR(VLOOKUP(A40,'👥 All Students'!$A:$C,3,0),"")</f>
        <v>0</v>
      </c>
      <c r="D40" s="88">
        <v>44</v>
      </c>
      <c r="E40" s="88" t="s">
        <v>180</v>
      </c>
      <c r="F40" s="88" t="s">
        <v>181</v>
      </c>
      <c r="G40" s="60" t="str">
        <f t="shared" si="0"/>
        <v>73%</v>
      </c>
      <c r="H40" s="85" t="str">
        <f t="shared" si="1"/>
        <v>⚠️ Partial</v>
      </c>
      <c r="I40" s="85" t="str">
        <f t="shared" si="2"/>
        <v>✅ Pass</v>
      </c>
      <c r="J40" s="8"/>
    </row>
    <row r="41" spans="1:10" ht="15.75" customHeight="1">
      <c r="A41" s="80" t="s">
        <v>188</v>
      </c>
      <c r="B41" s="62">
        <f>IFERROR(VLOOKUP(A41,'👥 All Students'!$A:$C,2,0),"")</f>
        <v>0</v>
      </c>
      <c r="C41" s="62">
        <f>IFERROR(VLOOKUP(A41,'👥 All Students'!$A:$C,3,0),"")</f>
        <v>0</v>
      </c>
      <c r="D41" s="88">
        <v>19.5</v>
      </c>
      <c r="E41" s="88" t="s">
        <v>180</v>
      </c>
      <c r="F41" s="88" t="s">
        <v>181</v>
      </c>
      <c r="G41" s="60" t="str">
        <f t="shared" si="0"/>
        <v>33%</v>
      </c>
      <c r="H41" s="85" t="str">
        <f t="shared" si="1"/>
        <v>⚠️ Partial</v>
      </c>
      <c r="I41" s="85" t="str">
        <f t="shared" si="2"/>
        <v>❌ Fail</v>
      </c>
      <c r="J41" s="15"/>
    </row>
    <row r="42" spans="1:10" ht="15.75" customHeight="1">
      <c r="A42" s="80" t="s">
        <v>189</v>
      </c>
      <c r="B42" s="68">
        <f>IFERROR(VLOOKUP(A42,'👥 All Students'!$A:$C,2,0),"")</f>
        <v>0</v>
      </c>
      <c r="C42" s="68">
        <f>IFERROR(VLOOKUP(A42,'👥 All Students'!$A:$C,3,0),"")</f>
        <v>0</v>
      </c>
      <c r="D42" s="90"/>
      <c r="E42" s="88" t="s">
        <v>180</v>
      </c>
      <c r="F42" s="88" t="s">
        <v>181</v>
      </c>
      <c r="G42" s="60" t="str">
        <f t="shared" si="0"/>
        <v/>
      </c>
      <c r="H42" s="85" t="str">
        <f t="shared" si="1"/>
        <v>⚠️ Partial</v>
      </c>
      <c r="I42" s="85" t="str">
        <f t="shared" si="2"/>
        <v>—</v>
      </c>
      <c r="J42" s="8"/>
    </row>
    <row r="43" spans="1:10" ht="15.75" customHeight="1">
      <c r="A43" s="80" t="s">
        <v>190</v>
      </c>
      <c r="B43" s="62">
        <f>IFERROR(VLOOKUP(A43,'👥 All Students'!$A:$C,2,0),"")</f>
        <v>0</v>
      </c>
      <c r="C43" s="62">
        <f>IFERROR(VLOOKUP(A43,'👥 All Students'!$A:$C,3,0),"")</f>
        <v>0</v>
      </c>
      <c r="D43" s="88">
        <v>28</v>
      </c>
      <c r="E43" s="88" t="s">
        <v>180</v>
      </c>
      <c r="F43" s="88" t="s">
        <v>181</v>
      </c>
      <c r="G43" s="60" t="str">
        <f t="shared" si="0"/>
        <v>47%</v>
      </c>
      <c r="H43" s="85" t="str">
        <f t="shared" si="1"/>
        <v>⚠️ Partial</v>
      </c>
      <c r="I43" s="85" t="str">
        <f t="shared" si="2"/>
        <v>❌ Fail</v>
      </c>
      <c r="J43" s="15"/>
    </row>
    <row r="44" spans="1:10" ht="15.75" customHeight="1">
      <c r="A44" s="80" t="s">
        <v>191</v>
      </c>
      <c r="B44" s="68">
        <f>IFERROR(VLOOKUP(A44,'👥 All Students'!$A:$C,2,0),"")</f>
        <v>0</v>
      </c>
      <c r="C44" s="68">
        <f>IFERROR(VLOOKUP(A44,'👥 All Students'!$A:$C,3,0),"")</f>
        <v>0</v>
      </c>
      <c r="D44" s="88">
        <v>35</v>
      </c>
      <c r="E44" s="88" t="s">
        <v>180</v>
      </c>
      <c r="F44" s="88" t="s">
        <v>181</v>
      </c>
      <c r="G44" s="60" t="str">
        <f t="shared" si="0"/>
        <v>58%</v>
      </c>
      <c r="H44" s="85" t="str">
        <f t="shared" si="1"/>
        <v>⚠️ Partial</v>
      </c>
      <c r="I44" s="85" t="str">
        <f t="shared" si="2"/>
        <v>✅ Pass</v>
      </c>
      <c r="J44" s="8"/>
    </row>
    <row r="45" spans="1:10" ht="15.75" customHeight="1">
      <c r="A45" s="80" t="s">
        <v>192</v>
      </c>
      <c r="B45" s="62">
        <f>IFERROR(VLOOKUP(A45,'👥 All Students'!$A:$C,2,0),"")</f>
        <v>0</v>
      </c>
      <c r="C45" s="62">
        <f>IFERROR(VLOOKUP(A45,'👥 All Students'!$A:$C,3,0),"")</f>
        <v>0</v>
      </c>
      <c r="D45" s="88">
        <v>47</v>
      </c>
      <c r="E45" s="88" t="s">
        <v>180</v>
      </c>
      <c r="F45" s="88" t="s">
        <v>181</v>
      </c>
      <c r="G45" s="60" t="str">
        <f t="shared" si="0"/>
        <v>78%</v>
      </c>
      <c r="H45" s="85" t="str">
        <f t="shared" si="1"/>
        <v>⚠️ Partial</v>
      </c>
      <c r="I45" s="85" t="str">
        <f t="shared" si="2"/>
        <v>✅ Pass</v>
      </c>
      <c r="J45" s="15"/>
    </row>
    <row r="46" spans="1:10" ht="15.75" customHeight="1">
      <c r="A46" s="80" t="s">
        <v>193</v>
      </c>
      <c r="B46" s="68">
        <f>IFERROR(VLOOKUP(A46,'👥 All Students'!$A:$C,2,0),"")</f>
        <v>0</v>
      </c>
      <c r="C46" s="68">
        <f>IFERROR(VLOOKUP(A46,'👥 All Students'!$A:$C,3,0),"")</f>
        <v>0</v>
      </c>
      <c r="D46" s="90"/>
      <c r="E46" s="90"/>
      <c r="F46" s="88" t="s">
        <v>181</v>
      </c>
      <c r="G46" s="60" t="str">
        <f t="shared" si="0"/>
        <v/>
      </c>
      <c r="H46" s="85" t="str">
        <f t="shared" si="1"/>
        <v>❌ Not Attended</v>
      </c>
      <c r="I46" s="85" t="str">
        <f t="shared" si="2"/>
        <v>—</v>
      </c>
      <c r="J46" s="8"/>
    </row>
    <row r="47" spans="1:10" ht="15.75" customHeight="1">
      <c r="A47" s="80" t="s">
        <v>196</v>
      </c>
      <c r="B47" s="62">
        <f>IFERROR(VLOOKUP(A47,'👥 All Students'!$A:$C,2,0),"")</f>
        <v>0</v>
      </c>
      <c r="C47" s="62">
        <f>IFERROR(VLOOKUP(A47,'👥 All Students'!$A:$C,3,0),"")</f>
        <v>0</v>
      </c>
      <c r="D47" s="88">
        <v>34.5</v>
      </c>
      <c r="E47" s="88" t="s">
        <v>180</v>
      </c>
      <c r="F47" s="88" t="s">
        <v>181</v>
      </c>
      <c r="G47" s="60" t="str">
        <f t="shared" si="0"/>
        <v>58%</v>
      </c>
      <c r="H47" s="85" t="str">
        <f t="shared" si="1"/>
        <v>⚠️ Partial</v>
      </c>
      <c r="I47" s="85" t="str">
        <f t="shared" si="2"/>
        <v>✅ Pass</v>
      </c>
      <c r="J47" s="15"/>
    </row>
    <row r="48" spans="1:10" ht="15.75" customHeight="1">
      <c r="A48" s="80" t="s">
        <v>198</v>
      </c>
      <c r="B48" s="68">
        <f>IFERROR(VLOOKUP(A48,'👥 All Students'!$A:$C,2,0),"")</f>
        <v>0</v>
      </c>
      <c r="C48" s="68">
        <f>IFERROR(VLOOKUP(A48,'👥 All Students'!$A:$C,3,0),"")</f>
        <v>0</v>
      </c>
      <c r="D48" s="88">
        <v>43</v>
      </c>
      <c r="E48" s="88" t="s">
        <v>180</v>
      </c>
      <c r="F48" s="88" t="s">
        <v>181</v>
      </c>
      <c r="G48" s="60" t="str">
        <f t="shared" si="0"/>
        <v>72%</v>
      </c>
      <c r="H48" s="85" t="str">
        <f t="shared" si="1"/>
        <v>⚠️ Partial</v>
      </c>
      <c r="I48" s="85" t="str">
        <f t="shared" si="2"/>
        <v>✅ Pass</v>
      </c>
      <c r="J48" s="8"/>
    </row>
    <row r="49" spans="1:10" ht="15.75" customHeight="1">
      <c r="A49" s="80" t="s">
        <v>201</v>
      </c>
      <c r="B49" s="62">
        <f>IFERROR(VLOOKUP(A49,'👥 All Students'!$A:$C,2,0),"")</f>
        <v>0</v>
      </c>
      <c r="C49" s="62">
        <f>IFERROR(VLOOKUP(A49,'👥 All Students'!$A:$C,3,0),"")</f>
        <v>0</v>
      </c>
      <c r="D49" s="88">
        <v>40</v>
      </c>
      <c r="E49" s="88" t="s">
        <v>180</v>
      </c>
      <c r="F49" s="88" t="s">
        <v>181</v>
      </c>
      <c r="G49" s="60" t="str">
        <f t="shared" si="0"/>
        <v>67%</v>
      </c>
      <c r="H49" s="85" t="str">
        <f t="shared" si="1"/>
        <v>⚠️ Partial</v>
      </c>
      <c r="I49" s="85" t="str">
        <f t="shared" si="2"/>
        <v>✅ Pass</v>
      </c>
      <c r="J49" s="15"/>
    </row>
    <row r="50" spans="1:10" ht="15.75" customHeight="1">
      <c r="A50" s="80" t="s">
        <v>202</v>
      </c>
      <c r="B50" s="68">
        <f>IFERROR(VLOOKUP(A50,'👥 All Students'!$A:$C,2,0),"")</f>
        <v>0</v>
      </c>
      <c r="C50" s="68">
        <f>IFERROR(VLOOKUP(A50,'👥 All Students'!$A:$C,3,0),"")</f>
        <v>0</v>
      </c>
      <c r="D50" s="88">
        <v>29</v>
      </c>
      <c r="E50" s="90"/>
      <c r="F50" s="88" t="s">
        <v>181</v>
      </c>
      <c r="G50" s="60" t="str">
        <f t="shared" si="0"/>
        <v>48%</v>
      </c>
      <c r="H50" s="85" t="str">
        <f t="shared" si="1"/>
        <v>❌ Not Attended</v>
      </c>
      <c r="I50" s="85" t="str">
        <f t="shared" si="2"/>
        <v>❌ Fail</v>
      </c>
      <c r="J50" s="8"/>
    </row>
    <row r="51" spans="1:10" ht="15.75" customHeight="1">
      <c r="A51" s="80" t="s">
        <v>203</v>
      </c>
      <c r="B51" s="62">
        <f>IFERROR(VLOOKUP(A51,'👥 All Students'!$A:$C,2,0),"")</f>
        <v>0</v>
      </c>
      <c r="C51" s="62">
        <f>IFERROR(VLOOKUP(A51,'👥 All Students'!$A:$C,3,0),"")</f>
        <v>0</v>
      </c>
      <c r="D51" s="88">
        <v>45</v>
      </c>
      <c r="E51" s="88" t="s">
        <v>180</v>
      </c>
      <c r="F51" s="88" t="s">
        <v>181</v>
      </c>
      <c r="G51" s="60" t="str">
        <f t="shared" si="0"/>
        <v>75%</v>
      </c>
      <c r="H51" s="85" t="str">
        <f t="shared" si="1"/>
        <v>⚠️ Partial</v>
      </c>
      <c r="I51" s="85" t="str">
        <f t="shared" si="2"/>
        <v>✅ Pass</v>
      </c>
      <c r="J51" s="15"/>
    </row>
    <row r="52" spans="1:10" ht="15.75" customHeight="1">
      <c r="A52" s="80" t="s">
        <v>204</v>
      </c>
      <c r="B52" s="68">
        <f>IFERROR(VLOOKUP(A52,'👥 All Students'!$A:$C,2,0),"")</f>
        <v>0</v>
      </c>
      <c r="C52" s="68">
        <f>IFERROR(VLOOKUP(A52,'👥 All Students'!$A:$C,3,0),"")</f>
        <v>0</v>
      </c>
      <c r="D52" s="88">
        <v>36.5</v>
      </c>
      <c r="E52" s="88" t="s">
        <v>180</v>
      </c>
      <c r="F52" s="88" t="s">
        <v>181</v>
      </c>
      <c r="G52" s="60" t="str">
        <f t="shared" si="0"/>
        <v>61%</v>
      </c>
      <c r="H52" s="85" t="str">
        <f t="shared" si="1"/>
        <v>⚠️ Partial</v>
      </c>
      <c r="I52" s="85" t="str">
        <f t="shared" si="2"/>
        <v>✅ Pass</v>
      </c>
      <c r="J52" s="8"/>
    </row>
    <row r="53" spans="1:10" ht="15.75" customHeight="1">
      <c r="A53" s="80" t="s">
        <v>205</v>
      </c>
      <c r="B53" s="62">
        <f>IFERROR(VLOOKUP(A53,'👥 All Students'!$A:$C,2,0),"")</f>
        <v>0</v>
      </c>
      <c r="C53" s="62">
        <f>IFERROR(VLOOKUP(A53,'👥 All Students'!$A:$C,3,0),"")</f>
        <v>0</v>
      </c>
      <c r="D53" s="90"/>
      <c r="E53" s="90"/>
      <c r="F53" s="88"/>
      <c r="G53" s="60" t="str">
        <f t="shared" si="0"/>
        <v/>
      </c>
      <c r="H53" s="85" t="str">
        <f t="shared" si="1"/>
        <v>—</v>
      </c>
      <c r="I53" s="85" t="str">
        <f t="shared" si="2"/>
        <v>—</v>
      </c>
      <c r="J53" s="15"/>
    </row>
    <row r="54" spans="1:10" ht="15.75" customHeight="1">
      <c r="A54" s="80" t="s">
        <v>206</v>
      </c>
      <c r="B54" s="68">
        <f>IFERROR(VLOOKUP(A54,'👥 All Students'!$A:$C,2,0),"")</f>
        <v>0</v>
      </c>
      <c r="C54" s="68">
        <f>IFERROR(VLOOKUP(A54,'👥 All Students'!$A:$C,3,0),"")</f>
        <v>0</v>
      </c>
      <c r="D54" s="88">
        <v>40.5</v>
      </c>
      <c r="E54" s="88" t="s">
        <v>180</v>
      </c>
      <c r="F54" s="88" t="s">
        <v>181</v>
      </c>
      <c r="G54" s="60" t="str">
        <f t="shared" si="0"/>
        <v>68%</v>
      </c>
      <c r="H54" s="85" t="str">
        <f t="shared" si="1"/>
        <v>⚠️ Partial</v>
      </c>
      <c r="I54" s="85" t="str">
        <f t="shared" si="2"/>
        <v>✅ Pass</v>
      </c>
      <c r="J54" s="8"/>
    </row>
    <row r="55" spans="1:10" ht="15.75" customHeight="1">
      <c r="A55" s="80" t="s">
        <v>207</v>
      </c>
      <c r="B55" s="62">
        <f>IFERROR(VLOOKUP(A55,'👥 All Students'!$A:$C,2,0),"")</f>
        <v>0</v>
      </c>
      <c r="C55" s="62">
        <f>IFERROR(VLOOKUP(A55,'👥 All Students'!$A:$C,3,0),"")</f>
        <v>0</v>
      </c>
      <c r="D55" s="88">
        <v>45</v>
      </c>
      <c r="E55" s="88" t="s">
        <v>180</v>
      </c>
      <c r="F55" s="88" t="s">
        <v>181</v>
      </c>
      <c r="G55" s="60" t="str">
        <f t="shared" si="0"/>
        <v>75%</v>
      </c>
      <c r="H55" s="85" t="str">
        <f t="shared" si="1"/>
        <v>⚠️ Partial</v>
      </c>
      <c r="I55" s="85" t="str">
        <f t="shared" si="2"/>
        <v>✅ Pass</v>
      </c>
      <c r="J55" s="15"/>
    </row>
    <row r="56" spans="1:10" ht="15.75" customHeight="1">
      <c r="A56" s="80" t="s">
        <v>209</v>
      </c>
      <c r="B56" s="68">
        <f>IFERROR(VLOOKUP(A56,'👥 All Students'!$A:$C,2,0),"")</f>
        <v>0</v>
      </c>
      <c r="C56" s="68">
        <f>IFERROR(VLOOKUP(A56,'👥 All Students'!$A:$C,3,0),"")</f>
        <v>0</v>
      </c>
      <c r="D56" s="88">
        <v>45</v>
      </c>
      <c r="E56" s="88" t="s">
        <v>180</v>
      </c>
      <c r="F56" s="88" t="s">
        <v>181</v>
      </c>
      <c r="G56" s="60" t="str">
        <f t="shared" si="0"/>
        <v>75%</v>
      </c>
      <c r="H56" s="85" t="str">
        <f t="shared" si="1"/>
        <v>⚠️ Partial</v>
      </c>
      <c r="I56" s="85" t="str">
        <f t="shared" si="2"/>
        <v>✅ Pass</v>
      </c>
      <c r="J56" s="8"/>
    </row>
    <row r="57" spans="1:10" ht="15.75" customHeight="1">
      <c r="A57" s="80" t="s">
        <v>242</v>
      </c>
      <c r="B57" s="62" t="str">
        <f>IFERROR(VLOOKUP(A57,'👥 All Students'!$A:$C,2,0),"")</f>
        <v/>
      </c>
      <c r="C57" s="62" t="str">
        <f>IFERROR(VLOOKUP(A57,'👥 All Students'!$A:$C,3,0),"")</f>
        <v/>
      </c>
      <c r="D57" s="90"/>
      <c r="E57" s="90"/>
      <c r="F57" s="88"/>
      <c r="G57" s="60" t="str">
        <f t="shared" si="0"/>
        <v/>
      </c>
      <c r="H57" s="85" t="str">
        <f t="shared" si="1"/>
        <v>—</v>
      </c>
      <c r="I57" s="85" t="str">
        <f t="shared" si="2"/>
        <v>—</v>
      </c>
      <c r="J57" s="15"/>
    </row>
    <row r="58" spans="1:10" ht="15.75" customHeight="1">
      <c r="A58" s="80" t="s">
        <v>210</v>
      </c>
      <c r="B58" s="68">
        <f>IFERROR(VLOOKUP(A58,'👥 All Students'!$A:$C,2,0),"")</f>
        <v>0</v>
      </c>
      <c r="C58" s="68">
        <f>IFERROR(VLOOKUP(A58,'👥 All Students'!$A:$C,3,0),"")</f>
        <v>0</v>
      </c>
      <c r="D58" s="88">
        <v>37.5</v>
      </c>
      <c r="E58" s="88" t="s">
        <v>180</v>
      </c>
      <c r="F58" s="88" t="s">
        <v>181</v>
      </c>
      <c r="G58" s="60" t="str">
        <f t="shared" si="0"/>
        <v>63%</v>
      </c>
      <c r="H58" s="85" t="str">
        <f t="shared" si="1"/>
        <v>⚠️ Partial</v>
      </c>
      <c r="I58" s="85" t="str">
        <f t="shared" si="2"/>
        <v>✅ Pass</v>
      </c>
      <c r="J58" s="8"/>
    </row>
    <row r="59" spans="1:10" ht="15.75" customHeight="1">
      <c r="A59" s="80" t="s">
        <v>211</v>
      </c>
      <c r="B59" s="62">
        <f>IFERROR(VLOOKUP(A59,'👥 All Students'!$A:$C,2,0),"")</f>
        <v>0</v>
      </c>
      <c r="C59" s="62">
        <f>IFERROR(VLOOKUP(A59,'👥 All Students'!$A:$C,3,0),"")</f>
        <v>0</v>
      </c>
      <c r="D59" s="90"/>
      <c r="E59" s="88" t="s">
        <v>180</v>
      </c>
      <c r="F59" s="88" t="s">
        <v>181</v>
      </c>
      <c r="G59" s="60" t="str">
        <f t="shared" si="0"/>
        <v/>
      </c>
      <c r="H59" s="85" t="str">
        <f t="shared" si="1"/>
        <v>⚠️ Partial</v>
      </c>
      <c r="I59" s="85" t="str">
        <f t="shared" si="2"/>
        <v>—</v>
      </c>
      <c r="J59" s="15"/>
    </row>
    <row r="60" spans="1:10" ht="15.75" customHeight="1">
      <c r="A60" s="80" t="s">
        <v>212</v>
      </c>
      <c r="B60" s="68">
        <f>IFERROR(VLOOKUP(A60,'👥 All Students'!$A:$C,2,0),"")</f>
        <v>0</v>
      </c>
      <c r="C60" s="68">
        <f>IFERROR(VLOOKUP(A60,'👥 All Students'!$A:$C,3,0),"")</f>
        <v>0</v>
      </c>
      <c r="D60" s="88">
        <v>38</v>
      </c>
      <c r="E60" s="88" t="s">
        <v>180</v>
      </c>
      <c r="F60" s="88" t="s">
        <v>181</v>
      </c>
      <c r="G60" s="60" t="str">
        <f t="shared" si="0"/>
        <v>63%</v>
      </c>
      <c r="H60" s="85" t="str">
        <f t="shared" si="1"/>
        <v>⚠️ Partial</v>
      </c>
      <c r="I60" s="85" t="str">
        <f t="shared" si="2"/>
        <v>✅ Pass</v>
      </c>
      <c r="J60" s="8"/>
    </row>
    <row r="61" spans="1:10" ht="15.75" customHeight="1">
      <c r="A61" s="80" t="s">
        <v>213</v>
      </c>
      <c r="B61" s="62">
        <f>IFERROR(VLOOKUP(A61,'👥 All Students'!$A:$C,2,0),"")</f>
        <v>0</v>
      </c>
      <c r="C61" s="62">
        <f>IFERROR(VLOOKUP(A61,'👥 All Students'!$A:$C,3,0),"")</f>
        <v>0</v>
      </c>
      <c r="D61" s="88">
        <v>49.5</v>
      </c>
      <c r="E61" s="88" t="s">
        <v>180</v>
      </c>
      <c r="F61" s="88" t="s">
        <v>181</v>
      </c>
      <c r="G61" s="60" t="str">
        <f t="shared" si="0"/>
        <v>83%</v>
      </c>
      <c r="H61" s="85" t="str">
        <f t="shared" si="1"/>
        <v>⚠️ Partial</v>
      </c>
      <c r="I61" s="85" t="str">
        <f t="shared" si="2"/>
        <v>✅ Pass</v>
      </c>
      <c r="J61" s="15"/>
    </row>
    <row r="62" spans="1:10" ht="15.75" customHeight="1">
      <c r="A62" s="80" t="s">
        <v>214</v>
      </c>
      <c r="B62" s="68" t="str">
        <f>IFERROR(VLOOKUP(A62,'👥 All Students'!$A:$C,2,0),"")</f>
        <v/>
      </c>
      <c r="C62" s="68" t="str">
        <f>IFERROR(VLOOKUP(A62,'👥 All Students'!$A:$C,3,0),"")</f>
        <v/>
      </c>
      <c r="D62" s="88">
        <v>29</v>
      </c>
      <c r="E62" s="88" t="s">
        <v>180</v>
      </c>
      <c r="F62" s="88" t="s">
        <v>181</v>
      </c>
      <c r="G62" s="60" t="str">
        <f t="shared" si="0"/>
        <v>48%</v>
      </c>
      <c r="H62" s="85" t="str">
        <f t="shared" si="1"/>
        <v>⚠️ Partial</v>
      </c>
      <c r="I62" s="85" t="str">
        <f t="shared" si="2"/>
        <v>❌ Fail</v>
      </c>
      <c r="J62" s="8"/>
    </row>
    <row r="63" spans="1:10" ht="15.75" customHeight="1">
      <c r="A63" s="80" t="s">
        <v>215</v>
      </c>
      <c r="B63" s="62" t="str">
        <f>IFERROR(VLOOKUP(A63,'👥 All Students'!$A:$C,2,0),"")</f>
        <v/>
      </c>
      <c r="C63" s="62" t="str">
        <f>IFERROR(VLOOKUP(A63,'👥 All Students'!$A:$C,3,0),"")</f>
        <v/>
      </c>
      <c r="D63" s="88">
        <v>44</v>
      </c>
      <c r="E63" s="88" t="s">
        <v>180</v>
      </c>
      <c r="F63" s="88" t="s">
        <v>181</v>
      </c>
      <c r="G63" s="60" t="str">
        <f t="shared" si="0"/>
        <v>73%</v>
      </c>
      <c r="H63" s="85" t="str">
        <f t="shared" si="1"/>
        <v>⚠️ Partial</v>
      </c>
      <c r="I63" s="85" t="str">
        <f t="shared" si="2"/>
        <v>✅ Pass</v>
      </c>
      <c r="J63" s="15"/>
    </row>
    <row r="64" spans="1:10" ht="15.75" customHeight="1">
      <c r="A64" s="80" t="s">
        <v>216</v>
      </c>
      <c r="B64" s="68" t="str">
        <f>IFERROR(VLOOKUP(A64,'👥 All Students'!$A:$C,2,0),"")</f>
        <v/>
      </c>
      <c r="C64" s="68" t="str">
        <f>IFERROR(VLOOKUP(A64,'👥 All Students'!$A:$C,3,0),"")</f>
        <v/>
      </c>
      <c r="D64" s="88">
        <v>38</v>
      </c>
      <c r="E64" s="88" t="s">
        <v>180</v>
      </c>
      <c r="F64" s="88" t="s">
        <v>181</v>
      </c>
      <c r="G64" s="60" t="str">
        <f t="shared" si="0"/>
        <v>63%</v>
      </c>
      <c r="H64" s="85" t="str">
        <f t="shared" si="1"/>
        <v>⚠️ Partial</v>
      </c>
      <c r="I64" s="85" t="str">
        <f t="shared" si="2"/>
        <v>✅ Pass</v>
      </c>
      <c r="J64" s="8"/>
    </row>
    <row r="65" spans="1:10" ht="15.75" customHeight="1">
      <c r="A65" s="80" t="s">
        <v>220</v>
      </c>
      <c r="B65" s="62" t="str">
        <f>IFERROR(VLOOKUP(A65,'👥 All Students'!$A:$C,2,0),"")</f>
        <v/>
      </c>
      <c r="C65" s="62" t="str">
        <f>IFERROR(VLOOKUP(A65,'👥 All Students'!$A:$C,3,0),"")</f>
        <v/>
      </c>
      <c r="D65" s="88">
        <v>46</v>
      </c>
      <c r="E65" s="88" t="s">
        <v>180</v>
      </c>
      <c r="F65" s="88" t="s">
        <v>181</v>
      </c>
      <c r="G65" s="60" t="str">
        <f t="shared" si="0"/>
        <v>77%</v>
      </c>
      <c r="H65" s="85" t="str">
        <f t="shared" si="1"/>
        <v>⚠️ Partial</v>
      </c>
      <c r="I65" s="85" t="str">
        <f t="shared" si="2"/>
        <v>✅ Pass</v>
      </c>
      <c r="J65" s="15"/>
    </row>
    <row r="66" spans="1:10" ht="15.75" customHeight="1">
      <c r="A66" s="80" t="s">
        <v>226</v>
      </c>
      <c r="B66" s="68" t="str">
        <f>IFERROR(VLOOKUP(A66,'👥 All Students'!$A:$C,2,0),"")</f>
        <v/>
      </c>
      <c r="C66" s="68" t="str">
        <f>IFERROR(VLOOKUP(A66,'👥 All Students'!$A:$C,3,0),"")</f>
        <v/>
      </c>
      <c r="D66" s="88">
        <v>43</v>
      </c>
      <c r="E66" s="88" t="s">
        <v>180</v>
      </c>
      <c r="F66" s="88" t="s">
        <v>181</v>
      </c>
      <c r="G66" s="60" t="str">
        <f t="shared" si="0"/>
        <v>72%</v>
      </c>
      <c r="H66" s="85" t="str">
        <f t="shared" si="1"/>
        <v>⚠️ Partial</v>
      </c>
      <c r="I66" s="85" t="str">
        <f t="shared" si="2"/>
        <v>✅ Pass</v>
      </c>
      <c r="J66" s="8"/>
    </row>
    <row r="67" spans="1:10" ht="15.75" customHeight="1">
      <c r="A67" s="80" t="s">
        <v>229</v>
      </c>
      <c r="B67" s="62" t="str">
        <f>IFERROR(VLOOKUP(A67,'👥 All Students'!$A:$C,2,0),"")</f>
        <v/>
      </c>
      <c r="C67" s="62" t="str">
        <f>IFERROR(VLOOKUP(A67,'👥 All Students'!$A:$C,3,0),"")</f>
        <v/>
      </c>
      <c r="D67" s="88">
        <v>39.5</v>
      </c>
      <c r="E67" s="88" t="s">
        <v>180</v>
      </c>
      <c r="F67" s="88" t="s">
        <v>181</v>
      </c>
      <c r="G67" s="60" t="str">
        <f t="shared" si="0"/>
        <v>66%</v>
      </c>
      <c r="H67" s="85" t="str">
        <f t="shared" si="1"/>
        <v>⚠️ Partial</v>
      </c>
      <c r="I67" s="85" t="str">
        <f t="shared" si="2"/>
        <v>✅ Pass</v>
      </c>
      <c r="J67" s="15"/>
    </row>
    <row r="68" spans="1:10" ht="15.75" customHeight="1">
      <c r="A68" s="80" t="s">
        <v>230</v>
      </c>
      <c r="B68" s="68" t="str">
        <f>IFERROR(VLOOKUP(A68,'👥 All Students'!$A:$C,2,0),"")</f>
        <v/>
      </c>
      <c r="C68" s="68" t="str">
        <f>IFERROR(VLOOKUP(A68,'👥 All Students'!$A:$C,3,0),"")</f>
        <v/>
      </c>
      <c r="D68" s="90"/>
      <c r="E68" s="88" t="s">
        <v>180</v>
      </c>
      <c r="F68" s="88" t="s">
        <v>181</v>
      </c>
      <c r="G68" s="60" t="str">
        <f t="shared" si="0"/>
        <v/>
      </c>
      <c r="H68" s="85" t="str">
        <f t="shared" si="1"/>
        <v>⚠️ Partial</v>
      </c>
      <c r="I68" s="85" t="str">
        <f t="shared" si="2"/>
        <v>—</v>
      </c>
      <c r="J68" s="8"/>
    </row>
    <row r="69" spans="1:10" ht="15.75" customHeight="1">
      <c r="A69" s="80" t="s">
        <v>252</v>
      </c>
      <c r="B69" s="62" t="str">
        <f>IFERROR(VLOOKUP(A69,'👥 All Students'!$A:$C,2,0),"")</f>
        <v/>
      </c>
      <c r="C69" s="62" t="str">
        <f>IFERROR(VLOOKUP(A69,'👥 All Students'!$A:$C,3,0),"")</f>
        <v/>
      </c>
      <c r="D69" s="90"/>
      <c r="E69" s="90"/>
      <c r="F69" s="88"/>
      <c r="G69" s="60" t="str">
        <f t="shared" si="0"/>
        <v/>
      </c>
      <c r="H69" s="85" t="str">
        <f t="shared" si="1"/>
        <v>—</v>
      </c>
      <c r="I69" s="85" t="str">
        <f t="shared" si="2"/>
        <v>—</v>
      </c>
      <c r="J69" s="15"/>
    </row>
    <row r="70" spans="1:10" ht="15.75" customHeight="1">
      <c r="A70" s="80" t="s">
        <v>232</v>
      </c>
      <c r="B70" s="68">
        <f>IFERROR(VLOOKUP(A70,'👥 All Students'!$A:$C,2,0),"")</f>
        <v>0</v>
      </c>
      <c r="C70" s="68">
        <f>IFERROR(VLOOKUP(A70,'👥 All Students'!$A:$C,3,0),"")</f>
        <v>0</v>
      </c>
      <c r="D70" s="90"/>
      <c r="E70" s="88" t="s">
        <v>180</v>
      </c>
      <c r="F70" s="88" t="s">
        <v>181</v>
      </c>
      <c r="G70" s="60" t="str">
        <f t="shared" si="0"/>
        <v/>
      </c>
      <c r="H70" s="85" t="str">
        <f t="shared" si="1"/>
        <v>⚠️ Partial</v>
      </c>
      <c r="I70" s="85" t="str">
        <f t="shared" si="2"/>
        <v>—</v>
      </c>
      <c r="J70" s="8"/>
    </row>
    <row r="71" spans="1:10" ht="15.75" customHeight="1">
      <c r="A71" s="80" t="s">
        <v>254</v>
      </c>
      <c r="B71" s="62" t="str">
        <f>IFERROR(VLOOKUP(A71,'👥 All Students'!$A:$C,2,0),"")</f>
        <v/>
      </c>
      <c r="C71" s="62" t="str">
        <f>IFERROR(VLOOKUP(A71,'👥 All Students'!$A:$C,3,0),"")</f>
        <v/>
      </c>
      <c r="D71" s="90"/>
      <c r="E71" s="90"/>
      <c r="F71" s="88"/>
      <c r="G71" s="60" t="str">
        <f t="shared" si="0"/>
        <v/>
      </c>
      <c r="H71" s="85" t="str">
        <f t="shared" si="1"/>
        <v>—</v>
      </c>
      <c r="I71" s="85" t="str">
        <f t="shared" si="2"/>
        <v>—</v>
      </c>
      <c r="J71" s="15"/>
    </row>
    <row r="72" spans="1:10" ht="15.75" customHeight="1">
      <c r="A72" s="80" t="s">
        <v>233</v>
      </c>
      <c r="B72" s="68">
        <f>IFERROR(VLOOKUP(A72,'👥 All Students'!$A:$C,2,0),"")</f>
        <v>0</v>
      </c>
      <c r="C72" s="68">
        <f>IFERROR(VLOOKUP(A72,'👥 All Students'!$A:$C,3,0),"")</f>
        <v>0</v>
      </c>
      <c r="D72" s="90"/>
      <c r="E72" s="90"/>
      <c r="F72" s="88" t="s">
        <v>181</v>
      </c>
      <c r="G72" s="60" t="str">
        <f t="shared" si="0"/>
        <v/>
      </c>
      <c r="H72" s="85" t="str">
        <f t="shared" si="1"/>
        <v>❌ Not Attended</v>
      </c>
      <c r="I72" s="85" t="str">
        <f t="shared" si="2"/>
        <v>—</v>
      </c>
      <c r="J72" s="8"/>
    </row>
    <row r="73" spans="1:10" ht="15.75" customHeight="1">
      <c r="A73" s="80" t="s">
        <v>234</v>
      </c>
      <c r="B73" s="62">
        <f>IFERROR(VLOOKUP(A73,'👥 All Students'!$A:$C,2,0),"")</f>
        <v>0</v>
      </c>
      <c r="C73" s="62">
        <f>IFERROR(VLOOKUP(A73,'👥 All Students'!$A:$C,3,0),"")</f>
        <v>0</v>
      </c>
      <c r="D73" s="88">
        <v>52.5</v>
      </c>
      <c r="E73" s="88" t="s">
        <v>180</v>
      </c>
      <c r="F73" s="88" t="s">
        <v>181</v>
      </c>
      <c r="G73" s="60" t="str">
        <f t="shared" si="0"/>
        <v>88%</v>
      </c>
      <c r="H73" s="85" t="str">
        <f t="shared" si="1"/>
        <v>⚠️ Partial</v>
      </c>
      <c r="I73" s="85" t="str">
        <f t="shared" si="2"/>
        <v>✅ Pass</v>
      </c>
      <c r="J73" s="15"/>
    </row>
    <row r="74" spans="1:10" ht="15.75" customHeight="1">
      <c r="A74" s="80" t="s">
        <v>258</v>
      </c>
      <c r="B74" s="68" t="str">
        <f>IFERROR(VLOOKUP(A74,'👥 All Students'!$A:$C,2,0),"")</f>
        <v/>
      </c>
      <c r="C74" s="68" t="str">
        <f>IFERROR(VLOOKUP(A74,'👥 All Students'!$A:$C,3,0),"")</f>
        <v/>
      </c>
      <c r="D74" s="90"/>
      <c r="E74" s="90"/>
      <c r="F74" s="88"/>
      <c r="G74" s="60" t="str">
        <f t="shared" si="0"/>
        <v/>
      </c>
      <c r="H74" s="85" t="str">
        <f t="shared" si="1"/>
        <v>—</v>
      </c>
      <c r="I74" s="85" t="str">
        <f t="shared" si="2"/>
        <v>—</v>
      </c>
      <c r="J74" s="8"/>
    </row>
    <row r="75" spans="1:10" ht="15.75" customHeight="1">
      <c r="A75" s="80" t="s">
        <v>235</v>
      </c>
      <c r="B75" s="62">
        <f>IFERROR(VLOOKUP(A75,'👥 All Students'!$A:$C,2,0),"")</f>
        <v>0</v>
      </c>
      <c r="C75" s="62">
        <f>IFERROR(VLOOKUP(A75,'👥 All Students'!$A:$C,3,0),"")</f>
        <v>0</v>
      </c>
      <c r="D75" s="88">
        <v>27</v>
      </c>
      <c r="E75" s="88" t="s">
        <v>180</v>
      </c>
      <c r="F75" s="88" t="s">
        <v>181</v>
      </c>
      <c r="G75" s="60" t="str">
        <f t="shared" si="0"/>
        <v>45%</v>
      </c>
      <c r="H75" s="85" t="str">
        <f t="shared" si="1"/>
        <v>⚠️ Partial</v>
      </c>
      <c r="I75" s="85" t="str">
        <f t="shared" si="2"/>
        <v>❌ Fail</v>
      </c>
      <c r="J75" s="15"/>
    </row>
    <row r="76" spans="1:10" ht="15.75" customHeight="1">
      <c r="A76" s="80" t="s">
        <v>260</v>
      </c>
      <c r="B76" s="68" t="str">
        <f>IFERROR(VLOOKUP(A76,'👥 All Students'!$A:$C,2,0),"")</f>
        <v/>
      </c>
      <c r="C76" s="68" t="str">
        <f>IFERROR(VLOOKUP(A76,'👥 All Students'!$A:$C,3,0),"")</f>
        <v/>
      </c>
      <c r="D76" s="90"/>
      <c r="E76" s="90"/>
      <c r="F76" s="88" t="s">
        <v>181</v>
      </c>
      <c r="G76" s="60" t="str">
        <f t="shared" si="0"/>
        <v/>
      </c>
      <c r="H76" s="85" t="str">
        <f t="shared" si="1"/>
        <v>❌ Not Attended</v>
      </c>
      <c r="I76" s="85" t="str">
        <f t="shared" si="2"/>
        <v>—</v>
      </c>
      <c r="J76" s="8"/>
    </row>
    <row r="77" spans="1:10" ht="15.75" customHeight="1">
      <c r="A77" s="80" t="s">
        <v>236</v>
      </c>
      <c r="B77" s="62">
        <f>IFERROR(VLOOKUP(A77,'👥 All Students'!$A:$C,2,0),"")</f>
        <v>0</v>
      </c>
      <c r="C77" s="62">
        <f>IFERROR(VLOOKUP(A77,'👥 All Students'!$A:$C,3,0),"")</f>
        <v>0</v>
      </c>
      <c r="D77" s="90"/>
      <c r="E77" s="88" t="s">
        <v>180</v>
      </c>
      <c r="F77" s="88" t="s">
        <v>181</v>
      </c>
      <c r="G77" s="60" t="str">
        <f t="shared" si="0"/>
        <v/>
      </c>
      <c r="H77" s="85" t="str">
        <f t="shared" si="1"/>
        <v>⚠️ Partial</v>
      </c>
      <c r="I77" s="85" t="str">
        <f t="shared" si="2"/>
        <v>—</v>
      </c>
      <c r="J77" s="15"/>
    </row>
    <row r="78" spans="1:10" ht="15.75" customHeight="1">
      <c r="A78" s="80" t="s">
        <v>237</v>
      </c>
      <c r="B78" s="62">
        <f>IFERROR(VLOOKUP(A78,'👥 All Students'!$A:$C,2,0),"")</f>
        <v>0</v>
      </c>
      <c r="C78" s="62">
        <f>IFERROR(VLOOKUP(A78,'👥 All Students'!$A:$C,3,0),"")</f>
        <v>0</v>
      </c>
      <c r="D78" s="90"/>
      <c r="E78" s="90"/>
      <c r="F78" s="127"/>
      <c r="G78" s="60" t="str">
        <f t="shared" si="0"/>
        <v/>
      </c>
      <c r="H78" s="85" t="str">
        <f t="shared" si="1"/>
        <v>—</v>
      </c>
      <c r="I78" s="85" t="str">
        <f t="shared" si="2"/>
        <v>—</v>
      </c>
      <c r="J78" s="15"/>
    </row>
    <row r="79" spans="1:10" ht="15.75" customHeight="1">
      <c r="A79" s="128" t="s">
        <v>231</v>
      </c>
      <c r="B79" s="62" t="str">
        <f>IFERROR(VLOOKUP(A79,'👥 All Students'!$A:$C,2,0),"")</f>
        <v/>
      </c>
      <c r="C79" s="62" t="str">
        <f>IFERROR(VLOOKUP(A79,'👥 All Students'!$A:$C,3,0),"")</f>
        <v/>
      </c>
      <c r="D79" s="90"/>
      <c r="E79" s="90"/>
      <c r="F79" s="127"/>
      <c r="G79" s="60" t="str">
        <f t="shared" si="0"/>
        <v/>
      </c>
      <c r="H79" s="85" t="str">
        <f t="shared" si="1"/>
        <v>—</v>
      </c>
      <c r="I79" s="85" t="str">
        <f t="shared" si="2"/>
        <v>—</v>
      </c>
      <c r="J79" s="15"/>
    </row>
    <row r="80" spans="1:10" ht="15.75" customHeight="1">
      <c r="A80" s="129" t="s">
        <v>238</v>
      </c>
      <c r="B80" s="68">
        <f>IFERROR(VLOOKUP(A80,'👥 All Students'!$A:$C,2,0),"")</f>
        <v>0</v>
      </c>
      <c r="C80" s="68">
        <f>IFERROR(VLOOKUP(A80,'👥 All Students'!$A:$C,3,0),"")</f>
        <v>0</v>
      </c>
      <c r="D80" s="88">
        <v>48.5</v>
      </c>
      <c r="E80" s="88" t="s">
        <v>180</v>
      </c>
      <c r="F80" s="127"/>
      <c r="G80" s="60" t="str">
        <f t="shared" si="0"/>
        <v>81%</v>
      </c>
      <c r="H80" s="85" t="str">
        <f t="shared" si="1"/>
        <v>⚠️ Partial</v>
      </c>
      <c r="I80" s="85" t="str">
        <f t="shared" si="2"/>
        <v>✅ Pass</v>
      </c>
      <c r="J80" s="8"/>
    </row>
    <row r="81" spans="1:10" ht="15.75" customHeight="1">
      <c r="A81" s="129" t="s">
        <v>239</v>
      </c>
      <c r="B81" s="62">
        <f>IFERROR(VLOOKUP(A81,'👥 All Students'!$A:$C,2,0),"")</f>
        <v>0</v>
      </c>
      <c r="C81" s="62">
        <f>IFERROR(VLOOKUP(A81,'👥 All Students'!$A:$C,3,0),"")</f>
        <v>0</v>
      </c>
      <c r="D81" s="88">
        <v>46</v>
      </c>
      <c r="E81" s="88" t="s">
        <v>180</v>
      </c>
      <c r="F81" s="127"/>
      <c r="G81" s="60" t="str">
        <f t="shared" si="0"/>
        <v>77%</v>
      </c>
      <c r="H81" s="85" t="str">
        <f t="shared" si="1"/>
        <v>⚠️ Partial</v>
      </c>
      <c r="I81" s="85" t="str">
        <f t="shared" si="2"/>
        <v>✅ Pass</v>
      </c>
      <c r="J81" s="15"/>
    </row>
    <row r="82" spans="1:10" ht="15.75" customHeight="1">
      <c r="A82" s="129" t="s">
        <v>240</v>
      </c>
      <c r="B82" s="68">
        <f>IFERROR(VLOOKUP(A82,'👥 All Students'!$A:$C,2,0),"")</f>
        <v>0</v>
      </c>
      <c r="C82" s="68">
        <f>IFERROR(VLOOKUP(A82,'👥 All Students'!$A:$C,3,0),"")</f>
        <v>0</v>
      </c>
      <c r="D82" s="90"/>
      <c r="E82" s="90"/>
      <c r="F82" s="127"/>
      <c r="G82" s="60" t="str">
        <f t="shared" si="0"/>
        <v/>
      </c>
      <c r="H82" s="85" t="str">
        <f t="shared" si="1"/>
        <v>—</v>
      </c>
      <c r="I82" s="85" t="str">
        <f t="shared" si="2"/>
        <v>—</v>
      </c>
      <c r="J82" s="8"/>
    </row>
    <row r="83" spans="1:10" ht="15.75" customHeight="1">
      <c r="A83" s="129" t="s">
        <v>241</v>
      </c>
      <c r="B83" s="62">
        <f>IFERROR(VLOOKUP(A83,'👥 All Students'!$A:$C,2,0),"")</f>
        <v>0</v>
      </c>
      <c r="C83" s="62">
        <f>IFERROR(VLOOKUP(A83,'👥 All Students'!$A:$C,3,0),"")</f>
        <v>0</v>
      </c>
      <c r="D83" s="88">
        <v>51</v>
      </c>
      <c r="E83" s="88" t="s">
        <v>180</v>
      </c>
      <c r="F83" s="127"/>
      <c r="G83" s="60" t="str">
        <f t="shared" si="0"/>
        <v>85%</v>
      </c>
      <c r="H83" s="85" t="str">
        <f t="shared" si="1"/>
        <v>⚠️ Partial</v>
      </c>
      <c r="I83" s="85" t="str">
        <f t="shared" si="2"/>
        <v>✅ Pass</v>
      </c>
      <c r="J83" s="15"/>
    </row>
    <row r="84" spans="1:10" ht="15.75" customHeight="1">
      <c r="A84" s="129" t="s">
        <v>243</v>
      </c>
      <c r="B84" s="68">
        <f>IFERROR(VLOOKUP(A84,'👥 All Students'!$A:$C,2,0),"")</f>
        <v>0</v>
      </c>
      <c r="C84" s="68">
        <f>IFERROR(VLOOKUP(A84,'👥 All Students'!$A:$C,3,0),"")</f>
        <v>0</v>
      </c>
      <c r="D84" s="88">
        <v>27</v>
      </c>
      <c r="E84" s="88" t="s">
        <v>180</v>
      </c>
      <c r="F84" s="127"/>
      <c r="G84" s="60" t="str">
        <f t="shared" si="0"/>
        <v>45%</v>
      </c>
      <c r="H84" s="85" t="str">
        <f t="shared" si="1"/>
        <v>⚠️ Partial</v>
      </c>
      <c r="I84" s="85" t="str">
        <f t="shared" si="2"/>
        <v>❌ Fail</v>
      </c>
      <c r="J84" s="8"/>
    </row>
    <row r="85" spans="1:10" ht="15.75" customHeight="1">
      <c r="A85" s="129" t="s">
        <v>244</v>
      </c>
      <c r="B85" s="62">
        <f>IFERROR(VLOOKUP(A85,'👥 All Students'!$A:$C,2,0),"")</f>
        <v>0</v>
      </c>
      <c r="C85" s="62">
        <f>IFERROR(VLOOKUP(A85,'👥 All Students'!$A:$C,3,0),"")</f>
        <v>0</v>
      </c>
      <c r="D85" s="88">
        <v>40.5</v>
      </c>
      <c r="E85" s="88" t="s">
        <v>180</v>
      </c>
      <c r="F85" s="127"/>
      <c r="G85" s="60" t="str">
        <f t="shared" si="0"/>
        <v>68%</v>
      </c>
      <c r="H85" s="85" t="str">
        <f t="shared" si="1"/>
        <v>⚠️ Partial</v>
      </c>
      <c r="I85" s="85" t="str">
        <f t="shared" si="2"/>
        <v>✅ Pass</v>
      </c>
      <c r="J85" s="15"/>
    </row>
    <row r="86" spans="1:10" ht="15.75" customHeight="1">
      <c r="A86" s="129" t="s">
        <v>245</v>
      </c>
      <c r="B86" s="68">
        <f>IFERROR(VLOOKUP(A86,'👥 All Students'!$A:$C,2,0),"")</f>
        <v>0</v>
      </c>
      <c r="C86" s="68">
        <f>IFERROR(VLOOKUP(A86,'👥 All Students'!$A:$C,3,0),"")</f>
        <v>0</v>
      </c>
      <c r="D86" s="88">
        <v>43.5</v>
      </c>
      <c r="E86" s="88" t="s">
        <v>180</v>
      </c>
      <c r="F86" s="127"/>
      <c r="G86" s="60" t="str">
        <f t="shared" si="0"/>
        <v>73%</v>
      </c>
      <c r="H86" s="85" t="str">
        <f t="shared" si="1"/>
        <v>⚠️ Partial</v>
      </c>
      <c r="I86" s="85" t="str">
        <f t="shared" si="2"/>
        <v>✅ Pass</v>
      </c>
      <c r="J86" s="8"/>
    </row>
    <row r="87" spans="1:10" ht="15.75" customHeight="1">
      <c r="A87" s="129" t="s">
        <v>246</v>
      </c>
      <c r="B87" s="62">
        <f>IFERROR(VLOOKUP(A87,'👥 All Students'!$A:$C,2,0),"")</f>
        <v>0</v>
      </c>
      <c r="C87" s="62">
        <f>IFERROR(VLOOKUP(A87,'👥 All Students'!$A:$C,3,0),"")</f>
        <v>0</v>
      </c>
      <c r="D87" s="88">
        <v>43</v>
      </c>
      <c r="E87" s="88" t="s">
        <v>180</v>
      </c>
      <c r="F87" s="127"/>
      <c r="G87" s="60" t="str">
        <f t="shared" si="0"/>
        <v>72%</v>
      </c>
      <c r="H87" s="85" t="str">
        <f t="shared" si="1"/>
        <v>⚠️ Partial</v>
      </c>
      <c r="I87" s="85" t="str">
        <f t="shared" si="2"/>
        <v>✅ Pass</v>
      </c>
      <c r="J87" s="15"/>
    </row>
    <row r="88" spans="1:10" ht="15.75" customHeight="1">
      <c r="A88" s="129" t="s">
        <v>247</v>
      </c>
      <c r="B88" s="68">
        <f>IFERROR(VLOOKUP(A88,'👥 All Students'!$A:$C,2,0),"")</f>
        <v>0</v>
      </c>
      <c r="C88" s="68">
        <f>IFERROR(VLOOKUP(A88,'👥 All Students'!$A:$C,3,0),"")</f>
        <v>0</v>
      </c>
      <c r="D88" s="88">
        <v>48.5</v>
      </c>
      <c r="E88" s="88" t="s">
        <v>180</v>
      </c>
      <c r="F88" s="127"/>
      <c r="G88" s="60" t="str">
        <f t="shared" si="0"/>
        <v>81%</v>
      </c>
      <c r="H88" s="85" t="str">
        <f t="shared" si="1"/>
        <v>⚠️ Partial</v>
      </c>
      <c r="I88" s="85" t="str">
        <f t="shared" si="2"/>
        <v>✅ Pass</v>
      </c>
      <c r="J88" s="8"/>
    </row>
    <row r="89" spans="1:10" ht="15.75" customHeight="1">
      <c r="A89" s="129" t="s">
        <v>248</v>
      </c>
      <c r="B89" s="62">
        <f>IFERROR(VLOOKUP(A89,'👥 All Students'!$A:$C,2,0),"")</f>
        <v>0</v>
      </c>
      <c r="C89" s="62">
        <f>IFERROR(VLOOKUP(A89,'👥 All Students'!$A:$C,3,0),"")</f>
        <v>0</v>
      </c>
      <c r="D89" s="88">
        <v>48.5</v>
      </c>
      <c r="E89" s="88" t="s">
        <v>180</v>
      </c>
      <c r="F89" s="127"/>
      <c r="G89" s="60" t="str">
        <f t="shared" si="0"/>
        <v>81%</v>
      </c>
      <c r="H89" s="85" t="str">
        <f t="shared" si="1"/>
        <v>⚠️ Partial</v>
      </c>
      <c r="I89" s="85" t="str">
        <f t="shared" si="2"/>
        <v>✅ Pass</v>
      </c>
      <c r="J89" s="15"/>
    </row>
    <row r="90" spans="1:10" ht="15.75" customHeight="1">
      <c r="A90" s="129" t="s">
        <v>249</v>
      </c>
      <c r="B90" s="68">
        <f>IFERROR(VLOOKUP(A90,'👥 All Students'!$A:$C,2,0),"")</f>
        <v>0</v>
      </c>
      <c r="C90" s="68">
        <f>IFERROR(VLOOKUP(A90,'👥 All Students'!$A:$C,3,0),"")</f>
        <v>0</v>
      </c>
      <c r="D90" s="88">
        <v>38.5</v>
      </c>
      <c r="E90" s="88" t="s">
        <v>180</v>
      </c>
      <c r="F90" s="127"/>
      <c r="G90" s="60" t="str">
        <f t="shared" si="0"/>
        <v>64%</v>
      </c>
      <c r="H90" s="85" t="str">
        <f t="shared" si="1"/>
        <v>⚠️ Partial</v>
      </c>
      <c r="I90" s="85" t="str">
        <f t="shared" si="2"/>
        <v>✅ Pass</v>
      </c>
      <c r="J90" s="8"/>
    </row>
    <row r="91" spans="1:10" ht="15.75" customHeight="1">
      <c r="A91" s="129" t="s">
        <v>250</v>
      </c>
      <c r="B91" s="62">
        <f>IFERROR(VLOOKUP(A91,'👥 All Students'!$A:$C,2,0),"")</f>
        <v>0</v>
      </c>
      <c r="C91" s="62">
        <f>IFERROR(VLOOKUP(A91,'👥 All Students'!$A:$C,3,0),"")</f>
        <v>0</v>
      </c>
      <c r="D91" s="88">
        <v>39</v>
      </c>
      <c r="E91" s="88" t="s">
        <v>180</v>
      </c>
      <c r="F91" s="127"/>
      <c r="G91" s="60" t="str">
        <f t="shared" si="0"/>
        <v>65%</v>
      </c>
      <c r="H91" s="85" t="str">
        <f t="shared" si="1"/>
        <v>⚠️ Partial</v>
      </c>
      <c r="I91" s="85" t="str">
        <f t="shared" si="2"/>
        <v>✅ Pass</v>
      </c>
      <c r="J91" s="15"/>
    </row>
    <row r="92" spans="1:10" ht="15.75" customHeight="1">
      <c r="A92" s="129" t="s">
        <v>251</v>
      </c>
      <c r="B92" s="68">
        <f>IFERROR(VLOOKUP(A92,'👥 All Students'!$A:$C,2,0),"")</f>
        <v>0</v>
      </c>
      <c r="C92" s="68">
        <f>IFERROR(VLOOKUP(A92,'👥 All Students'!$A:$C,3,0),"")</f>
        <v>0</v>
      </c>
      <c r="D92" s="88">
        <v>37.5</v>
      </c>
      <c r="E92" s="88" t="s">
        <v>180</v>
      </c>
      <c r="F92" s="127"/>
      <c r="G92" s="60" t="str">
        <f t="shared" si="0"/>
        <v>63%</v>
      </c>
      <c r="H92" s="85" t="str">
        <f t="shared" si="1"/>
        <v>⚠️ Partial</v>
      </c>
      <c r="I92" s="85" t="str">
        <f t="shared" si="2"/>
        <v>✅ Pass</v>
      </c>
      <c r="J92" s="8"/>
    </row>
    <row r="93" spans="1:10" ht="15.75" customHeight="1">
      <c r="A93" s="129" t="s">
        <v>253</v>
      </c>
      <c r="B93" s="62">
        <f>IFERROR(VLOOKUP(A93,'👥 All Students'!$A:$C,2,0),"")</f>
        <v>0</v>
      </c>
      <c r="C93" s="62">
        <f>IFERROR(VLOOKUP(A93,'👥 All Students'!$A:$C,3,0),"")</f>
        <v>0</v>
      </c>
      <c r="D93" s="88">
        <v>46</v>
      </c>
      <c r="E93" s="88" t="s">
        <v>180</v>
      </c>
      <c r="F93" s="20"/>
      <c r="G93" s="60" t="str">
        <f t="shared" si="0"/>
        <v>77%</v>
      </c>
      <c r="H93" s="85" t="str">
        <f t="shared" si="1"/>
        <v>⚠️ Partial</v>
      </c>
      <c r="I93" s="85" t="str">
        <f t="shared" si="2"/>
        <v>✅ Pass</v>
      </c>
      <c r="J93" s="15"/>
    </row>
    <row r="94" spans="1:10" ht="15.75" customHeight="1">
      <c r="A94" s="129" t="s">
        <v>255</v>
      </c>
      <c r="B94" s="68">
        <f>IFERROR(VLOOKUP(A94,'👥 All Students'!$A:$C,2,0),"")</f>
        <v>0</v>
      </c>
      <c r="C94" s="68">
        <f>IFERROR(VLOOKUP(A94,'👥 All Students'!$A:$C,3,0),"")</f>
        <v>0</v>
      </c>
      <c r="D94" s="88">
        <v>40</v>
      </c>
      <c r="E94" s="88" t="s">
        <v>180</v>
      </c>
      <c r="F94" s="20"/>
      <c r="G94" s="60" t="str">
        <f t="shared" si="0"/>
        <v>67%</v>
      </c>
      <c r="H94" s="85" t="str">
        <f t="shared" si="1"/>
        <v>⚠️ Partial</v>
      </c>
      <c r="I94" s="85" t="str">
        <f t="shared" si="2"/>
        <v>✅ Pass</v>
      </c>
      <c r="J94" s="8"/>
    </row>
    <row r="95" spans="1:10" ht="15.75" customHeight="1">
      <c r="A95" s="129" t="s">
        <v>256</v>
      </c>
      <c r="B95" s="62">
        <f>IFERROR(VLOOKUP(A95,'👥 All Students'!$A:$C,2,0),"")</f>
        <v>0</v>
      </c>
      <c r="C95" s="62">
        <f>IFERROR(VLOOKUP(A95,'👥 All Students'!$A:$C,3,0),"")</f>
        <v>0</v>
      </c>
      <c r="D95" s="88">
        <v>36</v>
      </c>
      <c r="E95" s="88" t="s">
        <v>180</v>
      </c>
      <c r="F95" s="20"/>
      <c r="G95" s="60" t="str">
        <f t="shared" si="0"/>
        <v>60%</v>
      </c>
      <c r="H95" s="85" t="str">
        <f t="shared" si="1"/>
        <v>⚠️ Partial</v>
      </c>
      <c r="I95" s="85" t="str">
        <f t="shared" si="2"/>
        <v>✅ Pass</v>
      </c>
      <c r="J95" s="15"/>
    </row>
    <row r="96" spans="1:10" ht="15.75" customHeight="1">
      <c r="A96" s="129" t="s">
        <v>257</v>
      </c>
      <c r="B96" s="68">
        <f>IFERROR(VLOOKUP(A96,'👥 All Students'!$A:$C,2,0),"")</f>
        <v>0</v>
      </c>
      <c r="C96" s="68">
        <f>IFERROR(VLOOKUP(A96,'👥 All Students'!$A:$C,3,0),"")</f>
        <v>0</v>
      </c>
      <c r="D96" s="90"/>
      <c r="E96" s="88" t="s">
        <v>180</v>
      </c>
      <c r="F96" s="20"/>
      <c r="G96" s="60" t="str">
        <f t="shared" si="0"/>
        <v/>
      </c>
      <c r="H96" s="85" t="str">
        <f t="shared" si="1"/>
        <v>⚠️ Partial</v>
      </c>
      <c r="I96" s="85" t="str">
        <f t="shared" si="2"/>
        <v>—</v>
      </c>
      <c r="J96" s="8"/>
    </row>
    <row r="97" spans="1:10" ht="15.75" customHeight="1">
      <c r="A97" s="129" t="s">
        <v>259</v>
      </c>
      <c r="B97" s="62">
        <f>IFERROR(VLOOKUP(A97,'👥 All Students'!$A:$C,2,0),"")</f>
        <v>0</v>
      </c>
      <c r="C97" s="62">
        <f>IFERROR(VLOOKUP(A97,'👥 All Students'!$A:$C,3,0),"")</f>
        <v>0</v>
      </c>
      <c r="D97" s="88">
        <v>48</v>
      </c>
      <c r="E97" s="88" t="s">
        <v>180</v>
      </c>
      <c r="F97" s="20"/>
      <c r="G97" s="60" t="str">
        <f t="shared" si="0"/>
        <v>80%</v>
      </c>
      <c r="H97" s="85" t="str">
        <f t="shared" si="1"/>
        <v>⚠️ Partial</v>
      </c>
      <c r="I97" s="85" t="str">
        <f t="shared" si="2"/>
        <v>✅ Pass</v>
      </c>
      <c r="J97" s="15"/>
    </row>
    <row r="98" spans="1:10" ht="15.75" customHeight="1">
      <c r="A98" s="129" t="s">
        <v>261</v>
      </c>
      <c r="B98" s="68">
        <f>IFERROR(VLOOKUP(A98,'👥 All Students'!$A:$C,2,0),"")</f>
        <v>0</v>
      </c>
      <c r="C98" s="68">
        <f>IFERROR(VLOOKUP(A98,'👥 All Students'!$A:$C,3,0),"")</f>
        <v>0</v>
      </c>
      <c r="D98" s="88">
        <v>26</v>
      </c>
      <c r="E98" s="88" t="s">
        <v>180</v>
      </c>
      <c r="F98" s="20"/>
      <c r="G98" s="60" t="str">
        <f t="shared" si="0"/>
        <v>43%</v>
      </c>
      <c r="H98" s="85" t="str">
        <f t="shared" si="1"/>
        <v>⚠️ Partial</v>
      </c>
      <c r="I98" s="85" t="str">
        <f t="shared" si="2"/>
        <v>❌ Fail</v>
      </c>
      <c r="J98" s="8"/>
    </row>
    <row r="99" spans="1:10" ht="15.75" customHeight="1">
      <c r="A99" s="129" t="s">
        <v>262</v>
      </c>
      <c r="B99" s="62">
        <f>IFERROR(VLOOKUP(A99,'👥 All Students'!$A:$C,2,0),"")</f>
        <v>0</v>
      </c>
      <c r="C99" s="62">
        <f>IFERROR(VLOOKUP(A99,'👥 All Students'!$A:$C,3,0),"")</f>
        <v>0</v>
      </c>
      <c r="D99" s="90"/>
      <c r="E99" s="90"/>
      <c r="F99" s="20"/>
      <c r="G99" s="60" t="str">
        <f t="shared" si="0"/>
        <v/>
      </c>
      <c r="H99" s="85" t="str">
        <f t="shared" si="1"/>
        <v>—</v>
      </c>
      <c r="I99" s="85" t="str">
        <f t="shared" si="2"/>
        <v>—</v>
      </c>
      <c r="J99" s="15"/>
    </row>
    <row r="100" spans="1:10" ht="15.75" customHeight="1">
      <c r="A100" s="129" t="s">
        <v>263</v>
      </c>
      <c r="B100" s="68">
        <f>IFERROR(VLOOKUP(A100,'👥 All Students'!$A:$C,2,0),"")</f>
        <v>0</v>
      </c>
      <c r="C100" s="68">
        <f>IFERROR(VLOOKUP(A100,'👥 All Students'!$A:$C,3,0),"")</f>
        <v>0</v>
      </c>
      <c r="D100" s="88">
        <v>40</v>
      </c>
      <c r="E100" s="88" t="s">
        <v>180</v>
      </c>
      <c r="F100" s="20"/>
      <c r="G100" s="60" t="str">
        <f t="shared" si="0"/>
        <v>67%</v>
      </c>
      <c r="H100" s="85" t="str">
        <f t="shared" si="1"/>
        <v>⚠️ Partial</v>
      </c>
      <c r="I100" s="85" t="str">
        <f t="shared" si="2"/>
        <v>✅ Pass</v>
      </c>
      <c r="J100" s="8"/>
    </row>
    <row r="101" spans="1:10" ht="15.75" customHeight="1">
      <c r="A101" s="129" t="s">
        <v>268</v>
      </c>
      <c r="B101" s="62" t="str">
        <f>IFERROR(VLOOKUP(A101,'👥 All Students'!$A:$C,2,0),"")</f>
        <v/>
      </c>
      <c r="C101" s="62" t="str">
        <f>IFERROR(VLOOKUP(A101,'👥 All Students'!$A:$C,3,0),"")</f>
        <v/>
      </c>
      <c r="D101" s="88">
        <v>47</v>
      </c>
      <c r="E101" s="88" t="s">
        <v>180</v>
      </c>
      <c r="F101" s="20"/>
      <c r="G101" s="60" t="str">
        <f t="shared" si="0"/>
        <v>78%</v>
      </c>
      <c r="H101" s="85" t="str">
        <f t="shared" si="1"/>
        <v>⚠️ Partial</v>
      </c>
      <c r="I101" s="85" t="str">
        <f t="shared" si="2"/>
        <v>✅ Pass</v>
      </c>
      <c r="J101" s="15"/>
    </row>
    <row r="102" spans="1:10" ht="15.75" customHeight="1">
      <c r="A102" s="129" t="s">
        <v>264</v>
      </c>
      <c r="B102" s="68" t="str">
        <f>IFERROR(VLOOKUP(A102,'👥 All Students'!$A:$C,2,0),"")</f>
        <v/>
      </c>
      <c r="C102" s="68" t="str">
        <f>IFERROR(VLOOKUP(A102,'👥 All Students'!$A:$C,3,0),"")</f>
        <v/>
      </c>
      <c r="D102" s="88">
        <v>47</v>
      </c>
      <c r="E102" s="88" t="s">
        <v>180</v>
      </c>
      <c r="F102" s="20"/>
      <c r="G102" s="60" t="str">
        <f t="shared" si="0"/>
        <v>78%</v>
      </c>
      <c r="H102" s="85" t="str">
        <f t="shared" si="1"/>
        <v>⚠️ Partial</v>
      </c>
      <c r="I102" s="85" t="str">
        <f t="shared" si="2"/>
        <v>✅ Pass</v>
      </c>
      <c r="J102" s="8"/>
    </row>
    <row r="103" spans="1:10" ht="15.75" customHeight="1">
      <c r="A103" s="129" t="s">
        <v>265</v>
      </c>
      <c r="B103" s="62" t="str">
        <f>IFERROR(VLOOKUP(A103,'👥 All Students'!$A:$C,2,0),"")</f>
        <v/>
      </c>
      <c r="C103" s="62" t="str">
        <f>IFERROR(VLOOKUP(A103,'👥 All Students'!$A:$C,3,0),"")</f>
        <v/>
      </c>
      <c r="D103" s="88">
        <v>50</v>
      </c>
      <c r="E103" s="88" t="s">
        <v>180</v>
      </c>
      <c r="F103" s="20"/>
      <c r="G103" s="60" t="str">
        <f t="shared" si="0"/>
        <v>83%</v>
      </c>
      <c r="H103" s="85" t="str">
        <f t="shared" si="1"/>
        <v>⚠️ Partial</v>
      </c>
      <c r="I103" s="85" t="str">
        <f t="shared" si="2"/>
        <v>✅ Pass</v>
      </c>
      <c r="J103" s="15"/>
    </row>
    <row r="104" spans="1:10" ht="15.75" customHeight="1">
      <c r="A104" s="129" t="s">
        <v>266</v>
      </c>
      <c r="B104" s="68" t="str">
        <f>IFERROR(VLOOKUP(A104,'👥 All Students'!$A:$C,2,0),"")</f>
        <v/>
      </c>
      <c r="C104" s="68" t="str">
        <f>IFERROR(VLOOKUP(A104,'👥 All Students'!$A:$C,3,0),"")</f>
        <v/>
      </c>
      <c r="D104" s="88">
        <v>51.5</v>
      </c>
      <c r="E104" s="88" t="s">
        <v>180</v>
      </c>
      <c r="F104" s="20"/>
      <c r="G104" s="60" t="str">
        <f t="shared" si="0"/>
        <v>86%</v>
      </c>
      <c r="H104" s="85" t="str">
        <f t="shared" si="1"/>
        <v>⚠️ Partial</v>
      </c>
      <c r="I104" s="85" t="str">
        <f t="shared" si="2"/>
        <v>✅ Pass</v>
      </c>
      <c r="J104" s="8"/>
    </row>
    <row r="105" spans="1:10" ht="15.75" customHeight="1">
      <c r="A105" s="129" t="s">
        <v>267</v>
      </c>
      <c r="B105" s="62" t="str">
        <f>IFERROR(VLOOKUP(A105,'👥 All Students'!$A:$C,2,0),"")</f>
        <v/>
      </c>
      <c r="C105" s="62" t="str">
        <f>IFERROR(VLOOKUP(A105,'👥 All Students'!$A:$C,3,0),"")</f>
        <v/>
      </c>
      <c r="D105" s="90"/>
      <c r="E105" s="88" t="s">
        <v>180</v>
      </c>
      <c r="F105" s="20"/>
      <c r="G105" s="60" t="str">
        <f t="shared" si="0"/>
        <v/>
      </c>
      <c r="H105" s="85" t="str">
        <f t="shared" si="1"/>
        <v>⚠️ Partial</v>
      </c>
      <c r="I105" s="85" t="str">
        <f t="shared" si="2"/>
        <v>—</v>
      </c>
      <c r="J105" s="15"/>
    </row>
    <row r="106" spans="1:10" ht="14.25" customHeight="1">
      <c r="A106" s="129" t="s">
        <v>269</v>
      </c>
      <c r="B106" s="62" t="str">
        <f>IFERROR(VLOOKUP(A106,'👥 All Students'!$A:$C,2,0),"")</f>
        <v/>
      </c>
      <c r="C106" s="62" t="str">
        <f>IFERROR(VLOOKUP(A106,'👥 All Students'!$A:$C,3,0),"")</f>
        <v/>
      </c>
      <c r="D106" s="88">
        <v>42</v>
      </c>
      <c r="E106" s="88" t="s">
        <v>180</v>
      </c>
      <c r="F106" s="20"/>
      <c r="G106" s="60" t="str">
        <f t="shared" si="0"/>
        <v>70%</v>
      </c>
      <c r="H106" s="85" t="str">
        <f t="shared" si="1"/>
        <v>⚠️ Partial</v>
      </c>
      <c r="I106" s="85" t="str">
        <f t="shared" si="2"/>
        <v>✅ Pass</v>
      </c>
      <c r="J106" s="15"/>
    </row>
    <row r="107" spans="1:10" ht="14.25" customHeight="1">
      <c r="A107" s="129" t="s">
        <v>270</v>
      </c>
      <c r="B107" s="62" t="str">
        <f>IFERROR(VLOOKUP(A107,'👥 All Students'!$A:$C,2,0),"")</f>
        <v/>
      </c>
      <c r="C107" s="62" t="str">
        <f>IFERROR(VLOOKUP(A107,'👥 All Students'!$A:$C,3,0),"")</f>
        <v/>
      </c>
      <c r="D107" s="88">
        <v>33</v>
      </c>
      <c r="E107" s="88" t="s">
        <v>180</v>
      </c>
      <c r="F107" s="20"/>
      <c r="G107" s="60" t="str">
        <f t="shared" si="0"/>
        <v>55%</v>
      </c>
      <c r="H107" s="85" t="str">
        <f t="shared" si="1"/>
        <v>⚠️ Partial</v>
      </c>
      <c r="I107" s="85" t="str">
        <f t="shared" si="2"/>
        <v>✅ Pass</v>
      </c>
      <c r="J107" s="15"/>
    </row>
    <row r="108" spans="1:10" ht="14.25" customHeight="1">
      <c r="A108" s="129" t="s">
        <v>271</v>
      </c>
      <c r="B108" s="15" t="str">
        <f>IFERROR(VLOOKUP(A108,'👥 All Students'!$A:$C,2,0),"")</f>
        <v/>
      </c>
      <c r="C108" s="15" t="str">
        <f>IFERROR(VLOOKUP(A108,'👥 All Students'!$A:$C,3,0),"")</f>
        <v/>
      </c>
      <c r="D108" s="88">
        <v>46.5</v>
      </c>
      <c r="E108" s="88" t="s">
        <v>180</v>
      </c>
      <c r="F108" s="20"/>
      <c r="G108" s="60" t="str">
        <f t="shared" si="0"/>
        <v>78%</v>
      </c>
      <c r="H108" s="85" t="str">
        <f t="shared" si="1"/>
        <v>⚠️ Partial</v>
      </c>
      <c r="I108" s="85" t="str">
        <f t="shared" si="2"/>
        <v>✅ Pass</v>
      </c>
      <c r="J108" s="15"/>
    </row>
    <row r="109" spans="1:10" ht="14.25" customHeight="1">
      <c r="A109" s="139"/>
      <c r="B109" s="15" t="str">
        <f>IFERROR(VLOOKUP(A109,'👥 All Students'!$A:$C,2,0),"")</f>
        <v/>
      </c>
      <c r="C109" s="15" t="str">
        <f>IFERROR(VLOOKUP(A109,'👥 All Students'!$A:$C,3,0),"")</f>
        <v/>
      </c>
      <c r="D109" s="20"/>
      <c r="E109" s="90"/>
      <c r="F109" s="20"/>
      <c r="G109" s="60" t="str">
        <f t="shared" si="0"/>
        <v/>
      </c>
      <c r="H109" s="85" t="str">
        <f t="shared" si="1"/>
        <v>—</v>
      </c>
      <c r="I109" s="85" t="str">
        <f t="shared" si="2"/>
        <v>—</v>
      </c>
      <c r="J109" s="15"/>
    </row>
    <row r="110" spans="1:10" ht="14.25" customHeight="1">
      <c r="A110" s="139"/>
      <c r="B110" s="15" t="str">
        <f>IFERROR(VLOOKUP(A110,'👥 All Students'!$A:$C,2,0),"")</f>
        <v/>
      </c>
      <c r="C110" s="15" t="str">
        <f>IFERROR(VLOOKUP(A110,'👥 All Students'!$A:$C,3,0),"")</f>
        <v/>
      </c>
      <c r="D110" s="20"/>
      <c r="E110" s="20"/>
      <c r="F110" s="20"/>
      <c r="G110" s="60" t="str">
        <f t="shared" si="0"/>
        <v/>
      </c>
      <c r="H110" s="85" t="str">
        <f t="shared" si="1"/>
        <v>—</v>
      </c>
      <c r="I110" s="85" t="str">
        <f t="shared" si="2"/>
        <v>—</v>
      </c>
      <c r="J110" s="15"/>
    </row>
    <row r="111" spans="1:10" ht="14.25" customHeight="1">
      <c r="A111" s="139"/>
      <c r="B111" s="15" t="str">
        <f>IFERROR(VLOOKUP(A111,'👥 All Students'!$A:$C,2,0),"")</f>
        <v/>
      </c>
      <c r="C111" s="15" t="str">
        <f>IFERROR(VLOOKUP(A111,'👥 All Students'!$A:$C,3,0),"")</f>
        <v/>
      </c>
      <c r="D111" s="20"/>
      <c r="E111" s="20"/>
      <c r="F111" s="20"/>
      <c r="G111" s="60" t="str">
        <f t="shared" si="0"/>
        <v/>
      </c>
      <c r="H111" s="85" t="str">
        <f t="shared" si="1"/>
        <v>—</v>
      </c>
      <c r="I111" s="85" t="str">
        <f t="shared" si="2"/>
        <v>—</v>
      </c>
      <c r="J111" s="15"/>
    </row>
    <row r="112" spans="1:10" ht="14.25" customHeight="1">
      <c r="A112" s="139"/>
      <c r="B112" s="15" t="str">
        <f>IFERROR(VLOOKUP(A112,'👥 All Students'!$A:$C,2,0),"")</f>
        <v/>
      </c>
      <c r="C112" s="15" t="str">
        <f>IFERROR(VLOOKUP(A112,'👥 All Students'!$A:$C,3,0),"")</f>
        <v/>
      </c>
      <c r="D112" s="20"/>
      <c r="E112" s="20"/>
      <c r="F112" s="20"/>
      <c r="G112" s="60" t="str">
        <f t="shared" si="0"/>
        <v/>
      </c>
      <c r="H112" s="85" t="str">
        <f t="shared" si="1"/>
        <v>—</v>
      </c>
      <c r="I112" s="85" t="str">
        <f t="shared" si="2"/>
        <v>—</v>
      </c>
      <c r="J112" s="15"/>
    </row>
    <row r="113" spans="1:10" ht="14.25" customHeight="1">
      <c r="A113" s="139"/>
      <c r="B113" s="15" t="str">
        <f>IFERROR(VLOOKUP(A113,'👥 All Students'!$A:$C,2,0),"")</f>
        <v/>
      </c>
      <c r="C113" s="15" t="str">
        <f>IFERROR(VLOOKUP(A113,'👥 All Students'!$A:$C,3,0),"")</f>
        <v/>
      </c>
      <c r="D113" s="20"/>
      <c r="E113" s="20"/>
      <c r="F113" s="20"/>
      <c r="G113" s="60" t="str">
        <f t="shared" si="0"/>
        <v/>
      </c>
      <c r="H113" s="85" t="str">
        <f t="shared" si="1"/>
        <v>—</v>
      </c>
      <c r="I113" s="85" t="str">
        <f t="shared" si="2"/>
        <v>—</v>
      </c>
      <c r="J113" s="15"/>
    </row>
    <row r="114" spans="1:10" ht="14.25" customHeight="1">
      <c r="A114" s="139"/>
      <c r="B114" s="15" t="str">
        <f>IFERROR(VLOOKUP(A114,'👥 All Students'!$A:$C,2,0),"")</f>
        <v/>
      </c>
      <c r="C114" s="15" t="str">
        <f>IFERROR(VLOOKUP(A114,'👥 All Students'!$A:$C,3,0),"")</f>
        <v/>
      </c>
      <c r="D114" s="20"/>
      <c r="E114" s="20"/>
      <c r="F114" s="20"/>
      <c r="G114" s="60" t="str">
        <f t="shared" si="0"/>
        <v/>
      </c>
      <c r="H114" s="85" t="str">
        <f t="shared" si="1"/>
        <v>—</v>
      </c>
      <c r="I114" s="85" t="str">
        <f t="shared" si="2"/>
        <v>—</v>
      </c>
      <c r="J114" s="15"/>
    </row>
    <row r="115" spans="1:10" ht="14.25" customHeight="1">
      <c r="A115" s="139"/>
      <c r="B115" s="15" t="str">
        <f>IFERROR(VLOOKUP(A115,'👥 All Students'!$A:$C,2,0),"")</f>
        <v/>
      </c>
      <c r="C115" s="15" t="str">
        <f>IFERROR(VLOOKUP(A115,'👥 All Students'!$A:$C,3,0),"")</f>
        <v/>
      </c>
      <c r="D115" s="20"/>
      <c r="E115" s="20"/>
      <c r="F115" s="20"/>
      <c r="G115" s="60" t="str">
        <f t="shared" si="0"/>
        <v/>
      </c>
      <c r="H115" s="85" t="str">
        <f t="shared" si="1"/>
        <v>—</v>
      </c>
      <c r="I115" s="85" t="str">
        <f t="shared" si="2"/>
        <v>—</v>
      </c>
      <c r="J115" s="15"/>
    </row>
    <row r="116" spans="1:10" ht="14.25" customHeight="1">
      <c r="A116" s="15"/>
      <c r="B116" s="15" t="str">
        <f>IFERROR(VLOOKUP(A116,'👥 All Students'!$A:$C,2,0),"")</f>
        <v/>
      </c>
      <c r="C116" s="15" t="str">
        <f>IFERROR(VLOOKUP(A116,'👥 All Students'!$A:$C,3,0),"")</f>
        <v/>
      </c>
      <c r="D116" s="20"/>
      <c r="E116" s="20"/>
      <c r="F116" s="20"/>
      <c r="G116" s="60" t="str">
        <f t="shared" si="0"/>
        <v/>
      </c>
      <c r="H116" s="85" t="str">
        <f t="shared" si="1"/>
        <v>—</v>
      </c>
      <c r="I116" s="85" t="str">
        <f t="shared" si="2"/>
        <v>—</v>
      </c>
      <c r="J116" s="15"/>
    </row>
    <row r="117" spans="1:10" ht="14.25" customHeight="1">
      <c r="A117" s="15"/>
      <c r="B117" s="15" t="str">
        <f>IFERROR(VLOOKUP(A117,'👥 All Students'!$A:$C,2,0),"")</f>
        <v/>
      </c>
      <c r="C117" s="15" t="str">
        <f>IFERROR(VLOOKUP(A117,'👥 All Students'!$A:$C,3,0),"")</f>
        <v/>
      </c>
      <c r="D117" s="20"/>
      <c r="E117" s="20"/>
      <c r="F117" s="20"/>
      <c r="G117" s="60" t="str">
        <f t="shared" si="0"/>
        <v/>
      </c>
      <c r="H117" s="85" t="str">
        <f t="shared" si="1"/>
        <v>—</v>
      </c>
      <c r="I117" s="85" t="str">
        <f t="shared" si="2"/>
        <v>—</v>
      </c>
      <c r="J117" s="15"/>
    </row>
    <row r="118" spans="1:10" ht="14.25" customHeight="1">
      <c r="A118" s="15"/>
      <c r="B118" s="15" t="str">
        <f>IFERROR(VLOOKUP(A118,'👥 All Students'!$A:$C,2,0),"")</f>
        <v/>
      </c>
      <c r="C118" s="15" t="str">
        <f>IFERROR(VLOOKUP(A118,'👥 All Students'!$A:$C,3,0),"")</f>
        <v/>
      </c>
      <c r="D118" s="20"/>
      <c r="E118" s="20"/>
      <c r="F118" s="20"/>
      <c r="G118" s="60" t="str">
        <f t="shared" si="0"/>
        <v/>
      </c>
      <c r="H118" s="85" t="str">
        <f t="shared" si="1"/>
        <v>—</v>
      </c>
      <c r="I118" s="85" t="str">
        <f t="shared" si="2"/>
        <v>—</v>
      </c>
      <c r="J118" s="15"/>
    </row>
    <row r="119" spans="1:10" ht="14.25" customHeight="1">
      <c r="A119" s="15"/>
      <c r="B119" s="15" t="str">
        <f>IFERROR(VLOOKUP(A119,'👥 All Students'!$A:$C,2,0),"")</f>
        <v/>
      </c>
      <c r="C119" s="15" t="str">
        <f>IFERROR(VLOOKUP(A119,'👥 All Students'!$A:$C,3,0),"")</f>
        <v/>
      </c>
      <c r="D119" s="20"/>
      <c r="E119" s="20"/>
      <c r="F119" s="20"/>
      <c r="G119" s="60" t="str">
        <f t="shared" si="0"/>
        <v/>
      </c>
      <c r="H119" s="85" t="str">
        <f t="shared" si="1"/>
        <v>—</v>
      </c>
      <c r="I119" s="85" t="str">
        <f t="shared" si="2"/>
        <v>—</v>
      </c>
      <c r="J119" s="15"/>
    </row>
    <row r="120" spans="1:10" ht="14.25" customHeight="1">
      <c r="A120" s="15"/>
      <c r="B120" s="15" t="str">
        <f>IFERROR(VLOOKUP(A120,'👥 All Students'!$A:$C,2,0),"")</f>
        <v/>
      </c>
      <c r="C120" s="15" t="str">
        <f>IFERROR(VLOOKUP(A120,'👥 All Students'!$A:$C,3,0),"")</f>
        <v/>
      </c>
      <c r="D120" s="20"/>
      <c r="E120" s="20"/>
      <c r="F120" s="20"/>
      <c r="G120" s="60" t="str">
        <f t="shared" si="0"/>
        <v/>
      </c>
      <c r="H120" s="85" t="str">
        <f t="shared" si="1"/>
        <v>—</v>
      </c>
      <c r="I120" s="85" t="str">
        <f t="shared" si="2"/>
        <v>—</v>
      </c>
      <c r="J120" s="15"/>
    </row>
    <row r="121" spans="1:10" ht="14.25" customHeight="1">
      <c r="A121" s="15"/>
      <c r="B121" s="15" t="str">
        <f>IFERROR(VLOOKUP(A121,'👥 All Students'!$A:$C,2,0),"")</f>
        <v/>
      </c>
      <c r="C121" s="15" t="str">
        <f>IFERROR(VLOOKUP(A121,'👥 All Students'!$A:$C,3,0),"")</f>
        <v/>
      </c>
      <c r="D121" s="20"/>
      <c r="E121" s="20"/>
      <c r="F121" s="20"/>
      <c r="G121" s="60" t="str">
        <f t="shared" si="0"/>
        <v/>
      </c>
      <c r="H121" s="85" t="str">
        <f t="shared" si="1"/>
        <v>—</v>
      </c>
      <c r="I121" s="85" t="str">
        <f t="shared" si="2"/>
        <v>—</v>
      </c>
      <c r="J121" s="15"/>
    </row>
    <row r="122" spans="1:10" ht="14.25" customHeight="1">
      <c r="A122" s="15"/>
      <c r="B122" s="15" t="str">
        <f>IFERROR(VLOOKUP(A122,'👥 All Students'!$A:$C,2,0),"")</f>
        <v/>
      </c>
      <c r="C122" s="15" t="str">
        <f>IFERROR(VLOOKUP(A122,'👥 All Students'!$A:$C,3,0),"")</f>
        <v/>
      </c>
      <c r="D122" s="20"/>
      <c r="E122" s="20"/>
      <c r="F122" s="20"/>
      <c r="G122" s="60" t="str">
        <f t="shared" si="0"/>
        <v/>
      </c>
      <c r="H122" s="85" t="str">
        <f t="shared" si="1"/>
        <v>—</v>
      </c>
      <c r="I122" s="85" t="str">
        <f t="shared" si="2"/>
        <v>—</v>
      </c>
      <c r="J122" s="15"/>
    </row>
    <row r="123" spans="1:10" ht="14.25" customHeight="1">
      <c r="A123" s="15"/>
      <c r="B123" s="15" t="str">
        <f>IFERROR(VLOOKUP(A123,'👥 All Students'!$A:$C,2,0),"")</f>
        <v/>
      </c>
      <c r="C123" s="15" t="str">
        <f>IFERROR(VLOOKUP(A123,'👥 All Students'!$A:$C,3,0),"")</f>
        <v/>
      </c>
      <c r="D123" s="20"/>
      <c r="E123" s="20"/>
      <c r="F123" s="20"/>
      <c r="G123" s="60" t="str">
        <f t="shared" si="0"/>
        <v/>
      </c>
      <c r="H123" s="85" t="str">
        <f t="shared" si="1"/>
        <v>—</v>
      </c>
      <c r="I123" s="85" t="str">
        <f t="shared" si="2"/>
        <v>—</v>
      </c>
      <c r="J123" s="15"/>
    </row>
    <row r="124" spans="1:10" ht="14.25" customHeight="1">
      <c r="A124" s="15"/>
      <c r="B124" s="15" t="str">
        <f>IFERROR(VLOOKUP(A124,'👥 All Students'!$A:$C,2,0),"")</f>
        <v/>
      </c>
      <c r="C124" s="15" t="str">
        <f>IFERROR(VLOOKUP(A124,'👥 All Students'!$A:$C,3,0),"")</f>
        <v/>
      </c>
      <c r="D124" s="20"/>
      <c r="E124" s="20"/>
      <c r="F124" s="20"/>
      <c r="G124" s="60" t="str">
        <f t="shared" si="0"/>
        <v/>
      </c>
      <c r="H124" s="85" t="str">
        <f t="shared" si="1"/>
        <v>—</v>
      </c>
      <c r="I124" s="85" t="str">
        <f t="shared" si="2"/>
        <v>—</v>
      </c>
      <c r="J124" s="15"/>
    </row>
    <row r="125" spans="1:10" ht="14.25" customHeight="1">
      <c r="A125" s="15"/>
      <c r="B125" s="15" t="str">
        <f>IFERROR(VLOOKUP(A125,'👥 All Students'!$A:$C,2,0),"")</f>
        <v/>
      </c>
      <c r="C125" s="15" t="str">
        <f>IFERROR(VLOOKUP(A125,'👥 All Students'!$A:$C,3,0),"")</f>
        <v/>
      </c>
      <c r="D125" s="20"/>
      <c r="E125" s="20"/>
      <c r="F125" s="20"/>
      <c r="G125" s="60" t="str">
        <f t="shared" si="0"/>
        <v/>
      </c>
      <c r="H125" s="85" t="str">
        <f t="shared" si="1"/>
        <v>—</v>
      </c>
      <c r="I125" s="85" t="str">
        <f t="shared" si="2"/>
        <v>—</v>
      </c>
      <c r="J125" s="15"/>
    </row>
    <row r="126" spans="1:10" ht="14.25" customHeight="1">
      <c r="A126" s="15"/>
      <c r="B126" s="15" t="str">
        <f>IFERROR(VLOOKUP(A126,'👥 All Students'!$A:$C,2,0),"")</f>
        <v/>
      </c>
      <c r="C126" s="15" t="str">
        <f>IFERROR(VLOOKUP(A126,'👥 All Students'!$A:$C,3,0),"")</f>
        <v/>
      </c>
      <c r="D126" s="20"/>
      <c r="E126" s="20"/>
      <c r="F126" s="20"/>
      <c r="G126" s="60" t="str">
        <f t="shared" si="0"/>
        <v/>
      </c>
      <c r="H126" s="85" t="str">
        <f t="shared" si="1"/>
        <v>—</v>
      </c>
      <c r="I126" s="85" t="str">
        <f t="shared" si="2"/>
        <v>—</v>
      </c>
      <c r="J126" s="15"/>
    </row>
    <row r="127" spans="1:10" ht="14.25" customHeight="1">
      <c r="A127" s="15"/>
      <c r="B127" s="15" t="str">
        <f>IFERROR(VLOOKUP(A127,'👥 All Students'!$A:$C,2,0),"")</f>
        <v/>
      </c>
      <c r="C127" s="15" t="str">
        <f>IFERROR(VLOOKUP(A127,'👥 All Students'!$A:$C,3,0),"")</f>
        <v/>
      </c>
      <c r="D127" s="20"/>
      <c r="E127" s="20"/>
      <c r="F127" s="20"/>
      <c r="G127" s="60" t="str">
        <f t="shared" si="0"/>
        <v/>
      </c>
      <c r="H127" s="85" t="str">
        <f t="shared" si="1"/>
        <v>—</v>
      </c>
      <c r="I127" s="85" t="str">
        <f t="shared" si="2"/>
        <v>—</v>
      </c>
      <c r="J127" s="15"/>
    </row>
    <row r="128" spans="1:10" ht="14.25" customHeight="1">
      <c r="A128" s="15"/>
      <c r="B128" s="15" t="str">
        <f>IFERROR(VLOOKUP(A128,'👥 All Students'!$A:$C,2,0),"")</f>
        <v/>
      </c>
      <c r="C128" s="15" t="str">
        <f>IFERROR(VLOOKUP(A128,'👥 All Students'!$A:$C,3,0),"")</f>
        <v/>
      </c>
      <c r="D128" s="20"/>
      <c r="E128" s="20"/>
      <c r="F128" s="20"/>
      <c r="G128" s="60" t="str">
        <f t="shared" si="0"/>
        <v/>
      </c>
      <c r="H128" s="85" t="str">
        <f t="shared" si="1"/>
        <v>—</v>
      </c>
      <c r="I128" s="85" t="str">
        <f t="shared" si="2"/>
        <v>—</v>
      </c>
      <c r="J128" s="15"/>
    </row>
    <row r="129" spans="1:10" ht="14.25" customHeight="1">
      <c r="A129" s="15"/>
      <c r="B129" s="15" t="str">
        <f>IFERROR(VLOOKUP(A129,'👥 All Students'!$A:$C,2,0),"")</f>
        <v/>
      </c>
      <c r="C129" s="15" t="str">
        <f>IFERROR(VLOOKUP(A129,'👥 All Students'!$A:$C,3,0),"")</f>
        <v/>
      </c>
      <c r="D129" s="20"/>
      <c r="E129" s="20"/>
      <c r="F129" s="20"/>
      <c r="G129" s="60" t="str">
        <f t="shared" si="0"/>
        <v/>
      </c>
      <c r="H129" s="85" t="str">
        <f t="shared" si="1"/>
        <v>—</v>
      </c>
      <c r="I129" s="85" t="str">
        <f t="shared" si="2"/>
        <v>—</v>
      </c>
      <c r="J129" s="15"/>
    </row>
    <row r="130" spans="1:10" ht="14.25" customHeight="1">
      <c r="A130" s="15"/>
      <c r="B130" s="15" t="str">
        <f>IFERROR(VLOOKUP(A130,'👥 All Students'!$A:$C,2,0),"")</f>
        <v/>
      </c>
      <c r="C130" s="15" t="str">
        <f>IFERROR(VLOOKUP(A130,'👥 All Students'!$A:$C,3,0),"")</f>
        <v/>
      </c>
      <c r="D130" s="20"/>
      <c r="E130" s="20"/>
      <c r="F130" s="20"/>
      <c r="G130" s="60" t="str">
        <f t="shared" si="0"/>
        <v/>
      </c>
      <c r="H130" s="85" t="str">
        <f t="shared" si="1"/>
        <v>—</v>
      </c>
      <c r="I130" s="85" t="str">
        <f t="shared" si="2"/>
        <v>—</v>
      </c>
      <c r="J130" s="15"/>
    </row>
    <row r="131" spans="1:10" ht="14.25" customHeight="1">
      <c r="A131" s="15"/>
      <c r="B131" s="15" t="str">
        <f>IFERROR(VLOOKUP(A131,'👥 All Students'!$A:$C,2,0),"")</f>
        <v/>
      </c>
      <c r="C131" s="15" t="str">
        <f>IFERROR(VLOOKUP(A131,'👥 All Students'!$A:$C,3,0),"")</f>
        <v/>
      </c>
      <c r="D131" s="20"/>
      <c r="E131" s="20"/>
      <c r="F131" s="20"/>
      <c r="G131" s="60" t="str">
        <f t="shared" si="0"/>
        <v/>
      </c>
      <c r="H131" s="85" t="str">
        <f t="shared" si="1"/>
        <v>—</v>
      </c>
      <c r="I131" s="85" t="str">
        <f t="shared" si="2"/>
        <v>—</v>
      </c>
      <c r="J131" s="15"/>
    </row>
    <row r="132" spans="1:10" ht="14.25" customHeight="1">
      <c r="A132" s="15"/>
      <c r="B132" s="15" t="str">
        <f>IFERROR(VLOOKUP(A132,'👥 All Students'!$A:$C,2,0),"")</f>
        <v/>
      </c>
      <c r="C132" s="15" t="str">
        <f>IFERROR(VLOOKUP(A132,'👥 All Students'!$A:$C,3,0),"")</f>
        <v/>
      </c>
      <c r="D132" s="20"/>
      <c r="E132" s="20"/>
      <c r="F132" s="20"/>
      <c r="G132" s="60" t="str">
        <f t="shared" si="0"/>
        <v/>
      </c>
      <c r="H132" s="85" t="str">
        <f t="shared" si="1"/>
        <v>—</v>
      </c>
      <c r="I132" s="85" t="str">
        <f t="shared" si="2"/>
        <v>—</v>
      </c>
      <c r="J132" s="15"/>
    </row>
    <row r="133" spans="1:10" ht="14.25" customHeight="1">
      <c r="A133" s="15"/>
      <c r="B133" s="15" t="str">
        <f>IFERROR(VLOOKUP(A133,'👥 All Students'!$A:$C,2,0),"")</f>
        <v/>
      </c>
      <c r="C133" s="15" t="str">
        <f>IFERROR(VLOOKUP(A133,'👥 All Students'!$A:$C,3,0),"")</f>
        <v/>
      </c>
      <c r="D133" s="20"/>
      <c r="E133" s="20"/>
      <c r="F133" s="20"/>
      <c r="G133" s="60" t="str">
        <f t="shared" si="0"/>
        <v/>
      </c>
      <c r="H133" s="85" t="str">
        <f t="shared" si="1"/>
        <v>—</v>
      </c>
      <c r="I133" s="85" t="str">
        <f t="shared" si="2"/>
        <v>—</v>
      </c>
      <c r="J133" s="15"/>
    </row>
    <row r="134" spans="1:10" ht="14.25" customHeight="1">
      <c r="A134" s="15"/>
      <c r="B134" s="15" t="str">
        <f>IFERROR(VLOOKUP(A134,'👥 All Students'!$A:$C,2,0),"")</f>
        <v/>
      </c>
      <c r="C134" s="15" t="str">
        <f>IFERROR(VLOOKUP(A134,'👥 All Students'!$A:$C,3,0),"")</f>
        <v/>
      </c>
      <c r="D134" s="20"/>
      <c r="E134" s="20"/>
      <c r="F134" s="20"/>
      <c r="G134" s="60" t="str">
        <f t="shared" si="0"/>
        <v/>
      </c>
      <c r="H134" s="85" t="str">
        <f t="shared" si="1"/>
        <v>—</v>
      </c>
      <c r="I134" s="85" t="str">
        <f t="shared" si="2"/>
        <v>—</v>
      </c>
      <c r="J134" s="15"/>
    </row>
    <row r="135" spans="1:10" ht="14.25" customHeight="1">
      <c r="A135" s="15"/>
      <c r="B135" s="15" t="str">
        <f>IFERROR(VLOOKUP(A135,'👥 All Students'!$A:$C,2,0),"")</f>
        <v/>
      </c>
      <c r="C135" s="15" t="str">
        <f>IFERROR(VLOOKUP(A135,'👥 All Students'!$A:$C,3,0),"")</f>
        <v/>
      </c>
      <c r="D135" s="20"/>
      <c r="E135" s="20"/>
      <c r="F135" s="20"/>
      <c r="G135" s="60" t="str">
        <f t="shared" si="0"/>
        <v/>
      </c>
      <c r="H135" s="85" t="str">
        <f t="shared" si="1"/>
        <v>—</v>
      </c>
      <c r="I135" s="85" t="str">
        <f t="shared" si="2"/>
        <v>—</v>
      </c>
      <c r="J135" s="15"/>
    </row>
    <row r="136" spans="1:10" ht="14.25" customHeight="1">
      <c r="A136" s="15"/>
      <c r="B136" s="15" t="str">
        <f>IFERROR(VLOOKUP(A136,'👥 All Students'!$A:$C,2,0),"")</f>
        <v/>
      </c>
      <c r="C136" s="15" t="str">
        <f>IFERROR(VLOOKUP(A136,'👥 All Students'!$A:$C,3,0),"")</f>
        <v/>
      </c>
      <c r="D136" s="20"/>
      <c r="E136" s="20"/>
      <c r="F136" s="20"/>
      <c r="G136" s="60" t="str">
        <f t="shared" si="0"/>
        <v/>
      </c>
      <c r="H136" s="85" t="str">
        <f t="shared" si="1"/>
        <v>—</v>
      </c>
      <c r="I136" s="85" t="str">
        <f t="shared" si="2"/>
        <v>—</v>
      </c>
      <c r="J136" s="15"/>
    </row>
    <row r="137" spans="1:10" ht="14.25" customHeight="1">
      <c r="A137" s="15"/>
      <c r="B137" s="15" t="str">
        <f>IFERROR(VLOOKUP(A137,'👥 All Students'!$A:$C,2,0),"")</f>
        <v/>
      </c>
      <c r="C137" s="15" t="str">
        <f>IFERROR(VLOOKUP(A137,'👥 All Students'!$A:$C,3,0),"")</f>
        <v/>
      </c>
      <c r="D137" s="20"/>
      <c r="E137" s="20"/>
      <c r="F137" s="20"/>
      <c r="G137" s="60" t="str">
        <f t="shared" si="0"/>
        <v/>
      </c>
      <c r="H137" s="85" t="str">
        <f t="shared" si="1"/>
        <v>—</v>
      </c>
      <c r="I137" s="85" t="str">
        <f t="shared" si="2"/>
        <v>—</v>
      </c>
      <c r="J137" s="15"/>
    </row>
    <row r="138" spans="1:10" ht="14.25" customHeight="1">
      <c r="A138" s="15"/>
      <c r="B138" s="15" t="str">
        <f>IFERROR(VLOOKUP(A138,'👥 All Students'!$A:$C,2,0),"")</f>
        <v/>
      </c>
      <c r="C138" s="15" t="str">
        <f>IFERROR(VLOOKUP(A138,'👥 All Students'!$A:$C,3,0),"")</f>
        <v/>
      </c>
      <c r="D138" s="20"/>
      <c r="E138" s="20"/>
      <c r="F138" s="20"/>
      <c r="G138" s="60" t="str">
        <f t="shared" si="0"/>
        <v/>
      </c>
      <c r="H138" s="85" t="str">
        <f t="shared" si="1"/>
        <v>—</v>
      </c>
      <c r="I138" s="85" t="str">
        <f t="shared" si="2"/>
        <v>—</v>
      </c>
      <c r="J138" s="15"/>
    </row>
    <row r="139" spans="1:10" ht="14.25" customHeight="1">
      <c r="A139" s="15"/>
      <c r="B139" s="15" t="str">
        <f>IFERROR(VLOOKUP(A139,'👥 All Students'!$A:$C,2,0),"")</f>
        <v/>
      </c>
      <c r="C139" s="15" t="str">
        <f>IFERROR(VLOOKUP(A139,'👥 All Students'!$A:$C,3,0),"")</f>
        <v/>
      </c>
      <c r="D139" s="20"/>
      <c r="E139" s="20"/>
      <c r="F139" s="20"/>
      <c r="G139" s="60" t="str">
        <f t="shared" si="0"/>
        <v/>
      </c>
      <c r="H139" s="85" t="str">
        <f t="shared" si="1"/>
        <v>—</v>
      </c>
      <c r="I139" s="85" t="str">
        <f t="shared" si="2"/>
        <v>—</v>
      </c>
      <c r="J139" s="15"/>
    </row>
    <row r="140" spans="1:10" ht="14.25" customHeight="1">
      <c r="A140" s="15"/>
      <c r="B140" s="15" t="str">
        <f>IFERROR(VLOOKUP(A140,'👥 All Students'!$A:$C,2,0),"")</f>
        <v/>
      </c>
      <c r="C140" s="15" t="str">
        <f>IFERROR(VLOOKUP(A140,'👥 All Students'!$A:$C,3,0),"")</f>
        <v/>
      </c>
      <c r="D140" s="20"/>
      <c r="E140" s="20"/>
      <c r="F140" s="20"/>
      <c r="G140" s="60" t="str">
        <f t="shared" si="0"/>
        <v/>
      </c>
      <c r="H140" s="85" t="str">
        <f t="shared" si="1"/>
        <v>—</v>
      </c>
      <c r="I140" s="85" t="str">
        <f t="shared" si="2"/>
        <v>—</v>
      </c>
      <c r="J140" s="15"/>
    </row>
    <row r="141" spans="1:10" ht="14.25" customHeight="1">
      <c r="A141" s="15"/>
      <c r="B141" s="15" t="str">
        <f>IFERROR(VLOOKUP(A141,'👥 All Students'!$A:$C,2,0),"")</f>
        <v/>
      </c>
      <c r="C141" s="15" t="str">
        <f>IFERROR(VLOOKUP(A141,'👥 All Students'!$A:$C,3,0),"")</f>
        <v/>
      </c>
      <c r="D141" s="20"/>
      <c r="E141" s="20"/>
      <c r="F141" s="20"/>
      <c r="G141" s="60" t="str">
        <f t="shared" si="0"/>
        <v/>
      </c>
      <c r="H141" s="85" t="str">
        <f t="shared" si="1"/>
        <v>—</v>
      </c>
      <c r="I141" s="85" t="str">
        <f t="shared" si="2"/>
        <v>—</v>
      </c>
      <c r="J141" s="15"/>
    </row>
    <row r="142" spans="1:10" ht="14.25" customHeight="1">
      <c r="A142" s="15"/>
      <c r="B142" s="15" t="str">
        <f>IFERROR(VLOOKUP(A142,'👥 All Students'!$A:$C,2,0),"")</f>
        <v/>
      </c>
      <c r="C142" s="15" t="str">
        <f>IFERROR(VLOOKUP(A142,'👥 All Students'!$A:$C,3,0),"")</f>
        <v/>
      </c>
      <c r="D142" s="20"/>
      <c r="E142" s="20"/>
      <c r="F142" s="20"/>
      <c r="G142" s="60" t="str">
        <f t="shared" si="0"/>
        <v/>
      </c>
      <c r="H142" s="85" t="str">
        <f t="shared" si="1"/>
        <v>—</v>
      </c>
      <c r="I142" s="85" t="str">
        <f t="shared" si="2"/>
        <v>—</v>
      </c>
      <c r="J142" s="15"/>
    </row>
    <row r="143" spans="1:10" ht="14.25" customHeight="1"/>
    <row r="144" spans="1:10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N1"/>
    <mergeCell ref="A2:J2"/>
    <mergeCell ref="A3:J3"/>
  </mergeCells>
  <conditionalFormatting sqref="H6:H142">
    <cfRule type="cellIs" dxfId="11" priority="1" operator="equal">
      <formula>"✅ Both Attended"</formula>
    </cfRule>
  </conditionalFormatting>
  <conditionalFormatting sqref="H6:H142">
    <cfRule type="cellIs" dxfId="10" priority="2" operator="equal">
      <formula>"⚠️ Partial"</formula>
    </cfRule>
  </conditionalFormatting>
  <conditionalFormatting sqref="H6:H142">
    <cfRule type="cellIs" dxfId="9" priority="3" operator="equal">
      <formula>"❌ Not Attended"</formula>
    </cfRule>
  </conditionalFormatting>
  <conditionalFormatting sqref="D6:D142">
    <cfRule type="colorScale" priority="4">
      <colorScale>
        <cfvo type="formula" val="0"/>
        <cfvo type="formula" val="30"/>
        <cfvo type="formula" val="60"/>
        <color rgb="FFFF4444"/>
        <color rgb="FFFFFF00"/>
        <color rgb="FF00B050"/>
      </colorScale>
    </cfRule>
  </conditionalFormatting>
  <dataValidations count="2">
    <dataValidation type="list" allowBlank="1" showInputMessage="1" showErrorMessage="1" prompt="Attendance - Select: Attended, Not Attended, or Excused." sqref="E6:F142" xr:uid="{00000000-0002-0000-0500-000000000000}">
      <formula1>"Attended,Not Attended,Excused"</formula1>
    </dataValidation>
    <dataValidation type="decimal" allowBlank="1" showInputMessage="1" showErrorMessage="1" prompt="Final Exam Score (0–60) - Enter a whole number from 0 to 60. Maximum is 60." sqref="D6:D142" xr:uid="{00000000-0002-0000-0500-000001000000}">
      <formula1>0</formula1>
      <formula2>60</formula2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2" sqref="D12"/>
    </sheetView>
  </sheetViews>
  <sheetFormatPr defaultColWidth="14.453125" defaultRowHeight="15" customHeight="1"/>
  <cols>
    <col min="1" max="1" width="22" customWidth="1"/>
    <col min="2" max="3" width="14" customWidth="1"/>
    <col min="4" max="6" width="12" customWidth="1"/>
    <col min="7" max="7" width="10" customWidth="1"/>
    <col min="8" max="9" width="18" customWidth="1"/>
    <col min="10" max="10" width="14" customWidth="1"/>
    <col min="11" max="11" width="16" customWidth="1"/>
    <col min="12" max="12" width="10" customWidth="1"/>
    <col min="13" max="13" width="14" customWidth="1"/>
    <col min="14" max="14" width="30" customWidth="1"/>
    <col min="15" max="26" width="8.54296875" customWidth="1"/>
  </cols>
  <sheetData>
    <row r="1" spans="1:14" ht="30" customHeight="1">
      <c r="A1" s="221" t="s">
        <v>217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</row>
    <row r="2" spans="1:14" ht="15.75" customHeight="1">
      <c r="A2" s="151" t="s">
        <v>218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</row>
    <row r="3" spans="1:14" ht="15.75" customHeight="1">
      <c r="A3" s="222" t="s">
        <v>219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</row>
    <row r="4" spans="1:14" ht="19.5" customHeight="1">
      <c r="A4" s="48" t="s">
        <v>95</v>
      </c>
      <c r="B4" s="49"/>
      <c r="C4" s="49"/>
      <c r="D4" s="4">
        <v>40</v>
      </c>
      <c r="E4" s="92">
        <v>60</v>
      </c>
      <c r="F4" s="93">
        <v>100</v>
      </c>
      <c r="G4" s="49"/>
      <c r="H4" s="49"/>
      <c r="I4" s="49"/>
      <c r="J4" s="49"/>
      <c r="K4" s="49"/>
      <c r="L4" s="49"/>
      <c r="M4" s="49"/>
      <c r="N4" s="49"/>
    </row>
    <row r="5" spans="1:14" ht="36" customHeight="1">
      <c r="A5" s="94" t="s">
        <v>41</v>
      </c>
      <c r="B5" s="94" t="s">
        <v>43</v>
      </c>
      <c r="C5" s="94" t="s">
        <v>44</v>
      </c>
      <c r="D5" s="94" t="s">
        <v>129</v>
      </c>
      <c r="E5" s="94" t="s">
        <v>131</v>
      </c>
      <c r="F5" s="94" t="s">
        <v>133</v>
      </c>
      <c r="G5" s="94" t="s">
        <v>221</v>
      </c>
      <c r="H5" s="94" t="s">
        <v>222</v>
      </c>
      <c r="I5" s="94" t="s">
        <v>223</v>
      </c>
      <c r="J5" s="94" t="s">
        <v>224</v>
      </c>
      <c r="K5" s="94" t="s">
        <v>225</v>
      </c>
      <c r="L5" s="94" t="s">
        <v>227</v>
      </c>
      <c r="M5" s="94" t="s">
        <v>228</v>
      </c>
      <c r="N5" s="94" t="s">
        <v>15</v>
      </c>
    </row>
    <row r="6" spans="1:14" ht="18" customHeight="1">
      <c r="A6" s="95" t="s">
        <v>110</v>
      </c>
      <c r="B6" s="96" t="str">
        <f>IFERROR(VLOOKUP(A6,'👥 All Students'!$A:$C,2,0),"")</f>
        <v/>
      </c>
      <c r="C6" s="96" t="str">
        <f>IFERROR(VLOOKUP(A6,'👥 All Students'!$A:$C,3,0),"")</f>
        <v/>
      </c>
      <c r="D6" s="97" t="str">
        <f>IFERROR(VLOOKUP(A6,'📝 S1 Quiz'!$A:$L,12,0),"")</f>
        <v/>
      </c>
      <c r="E6" s="98">
        <f>IFERROR(VLOOKUP(A6,'📄 S1 Exam'!$A:$D,4,0),"")</f>
        <v>0</v>
      </c>
      <c r="F6" s="99" t="str">
        <f t="shared" ref="F6:F118" si="0">IF(OR(D6="",E6=""),"—",D6+E6)</f>
        <v>—</v>
      </c>
      <c r="G6" s="100" t="str">
        <f t="shared" ref="G6:G118" si="1">IF(F6="—","—",IF(F6&gt;=50,"✅","❌"))</f>
        <v>—</v>
      </c>
      <c r="H6" s="101" t="str">
        <f>IFERROR(VLOOKUP(A6,'📄 S1 Exam'!$A:$E,5,0),"")</f>
        <v>Excused</v>
      </c>
      <c r="I6" s="101" t="str">
        <f>IFERROR(VLOOKUP(A6,'📄 S1 Exam'!$A:$F,6,0),"")</f>
        <v>Excused</v>
      </c>
      <c r="J6" s="100" t="str">
        <f t="shared" ref="J6:J118" si="2">IF(AND(H6="Attended",I6="Attended"),"✅","❌")</f>
        <v>❌</v>
      </c>
      <c r="K6" s="100" t="str">
        <f t="shared" ref="K6:K118" si="3">IF(OR(F6="—",H6="",I6=""),"⏳ PENDING",IF(AND(G6="✅",J6="✅"),"✅ GRADUATE","❌ NOT YET"))</f>
        <v>⏳ PENDING</v>
      </c>
      <c r="L6" s="102" t="str">
        <f t="shared" ref="L6:L118" si="4">IF(F6="—","",F6/100)</f>
        <v/>
      </c>
      <c r="M6" s="100" t="str">
        <f t="shared" ref="M6:M118" si="5">IF(F6="—","",IF(F6&gt;=90,"Distinction",IF(F6&gt;=75,"Merit",IF(F6&gt;=50,"Pass","Below Pass"))))</f>
        <v/>
      </c>
      <c r="N6" s="96" t="str">
        <f t="shared" ref="N6:N118" si="6">IF(K6="✅ GRADUATE","Cleared for graduation!",IF(K6="⏳ PENDING","Awaiting data",IF(G6&lt;&gt;"✅","Score "&amp;IF(F6="—","not entered",F6&amp;"/100 — needs 50")&amp;". ","")&amp;IF(J6&lt;&gt;"✅","Attendance incomplete.","")))</f>
        <v>Awaiting data</v>
      </c>
    </row>
    <row r="7" spans="1:14" ht="18" customHeight="1">
      <c r="A7" s="95" t="s">
        <v>71</v>
      </c>
      <c r="B7" s="105">
        <f>IFERROR(VLOOKUP(A7,'👥 All Students'!$A:$C,2,0),"")</f>
        <v>0</v>
      </c>
      <c r="C7" s="105">
        <f>IFERROR(VLOOKUP(A7,'👥 All Students'!$A:$C,3,0),"")</f>
        <v>0</v>
      </c>
      <c r="D7" s="97">
        <f>IFERROR(VLOOKUP(A7,'📝 S1 Quiz'!$A:$L,12,0),"")</f>
        <v>33</v>
      </c>
      <c r="E7" s="98">
        <f>IFERROR(VLOOKUP(A7,'📄 S1 Exam'!$A:$D,4,0),"")</f>
        <v>51</v>
      </c>
      <c r="F7" s="99">
        <f t="shared" si="0"/>
        <v>84</v>
      </c>
      <c r="G7" s="109" t="str">
        <f t="shared" si="1"/>
        <v>✅</v>
      </c>
      <c r="H7" s="110" t="str">
        <f>IFERROR(VLOOKUP(A7,'📄 S1 Exam'!$A:$E,5,0),"")</f>
        <v>Attended</v>
      </c>
      <c r="I7" s="110" t="str">
        <f>IFERROR(VLOOKUP(A7,'📄 S1 Exam'!$A:$F,6,0),"")</f>
        <v>Not Attended</v>
      </c>
      <c r="J7" s="109" t="str">
        <f t="shared" si="2"/>
        <v>❌</v>
      </c>
      <c r="K7" s="109" t="str">
        <f t="shared" si="3"/>
        <v>❌ NOT YET</v>
      </c>
      <c r="L7" s="111">
        <f t="shared" si="4"/>
        <v>0.84</v>
      </c>
      <c r="M7" s="109" t="str">
        <f t="shared" si="5"/>
        <v>Merit</v>
      </c>
      <c r="N7" s="105" t="str">
        <f t="shared" si="6"/>
        <v>Attendance incomplete.</v>
      </c>
    </row>
    <row r="8" spans="1:14" ht="18" customHeight="1">
      <c r="A8" s="95" t="s">
        <v>75</v>
      </c>
      <c r="B8" s="96">
        <f>IFERROR(VLOOKUP(A8,'👥 All Students'!$A:$C,2,0),"")</f>
        <v>0</v>
      </c>
      <c r="C8" s="96">
        <f>IFERROR(VLOOKUP(A8,'👥 All Students'!$A:$C,3,0),"")</f>
        <v>0</v>
      </c>
      <c r="D8" s="97">
        <f>IFERROR(VLOOKUP(A8,'📝 S1 Quiz'!$A:$L,12,0),"")</f>
        <v>34.5</v>
      </c>
      <c r="E8" s="98">
        <f>IFERROR(VLOOKUP(A8,'📄 S1 Exam'!$A:$D,4,0),"")</f>
        <v>51</v>
      </c>
      <c r="F8" s="99">
        <f t="shared" si="0"/>
        <v>85.5</v>
      </c>
      <c r="G8" s="100" t="str">
        <f t="shared" si="1"/>
        <v>✅</v>
      </c>
      <c r="H8" s="101" t="str">
        <f>IFERROR(VLOOKUP(A8,'📄 S1 Exam'!$A:$E,5,0),"")</f>
        <v>Attended</v>
      </c>
      <c r="I8" s="101" t="str">
        <f>IFERROR(VLOOKUP(A8,'📄 S1 Exam'!$A:$F,6,0),"")</f>
        <v>Not Attended</v>
      </c>
      <c r="J8" s="100" t="str">
        <f t="shared" si="2"/>
        <v>❌</v>
      </c>
      <c r="K8" s="100" t="str">
        <f t="shared" si="3"/>
        <v>❌ NOT YET</v>
      </c>
      <c r="L8" s="102">
        <f t="shared" si="4"/>
        <v>0.85499999999999998</v>
      </c>
      <c r="M8" s="100" t="str">
        <f t="shared" si="5"/>
        <v>Merit</v>
      </c>
      <c r="N8" s="96" t="str">
        <f t="shared" si="6"/>
        <v>Attendance incomplete.</v>
      </c>
    </row>
    <row r="9" spans="1:14" ht="18" customHeight="1">
      <c r="A9" s="95" t="s">
        <v>81</v>
      </c>
      <c r="B9" s="105">
        <f>IFERROR(VLOOKUP(A9,'👥 All Students'!$A:$C,2,0),"")</f>
        <v>0</v>
      </c>
      <c r="C9" s="105">
        <f>IFERROR(VLOOKUP(A9,'👥 All Students'!$A:$C,3,0),"")</f>
        <v>0</v>
      </c>
      <c r="D9" s="97">
        <f>IFERROR(VLOOKUP(A9,'📝 S1 Quiz'!$A:$L,12,0),"")</f>
        <v>32.5</v>
      </c>
      <c r="E9" s="98">
        <f>IFERROR(VLOOKUP(A9,'📄 S1 Exam'!$A:$D,4,0),"")</f>
        <v>51</v>
      </c>
      <c r="F9" s="99">
        <f t="shared" si="0"/>
        <v>83.5</v>
      </c>
      <c r="G9" s="109" t="str">
        <f t="shared" si="1"/>
        <v>✅</v>
      </c>
      <c r="H9" s="110" t="str">
        <f>IFERROR(VLOOKUP(A9,'📄 S1 Exam'!$A:$E,5,0),"")</f>
        <v>Attended</v>
      </c>
      <c r="I9" s="110" t="str">
        <f>IFERROR(VLOOKUP(A9,'📄 S1 Exam'!$A:$F,6,0),"")</f>
        <v>Not Attended</v>
      </c>
      <c r="J9" s="109" t="str">
        <f t="shared" si="2"/>
        <v>❌</v>
      </c>
      <c r="K9" s="109" t="str">
        <f t="shared" si="3"/>
        <v>❌ NOT YET</v>
      </c>
      <c r="L9" s="111">
        <f t="shared" si="4"/>
        <v>0.83499999999999996</v>
      </c>
      <c r="M9" s="109" t="str">
        <f t="shared" si="5"/>
        <v>Merit</v>
      </c>
      <c r="N9" s="105" t="str">
        <f t="shared" si="6"/>
        <v>Attendance incomplete.</v>
      </c>
    </row>
    <row r="10" spans="1:14" ht="18" customHeight="1">
      <c r="A10" s="95" t="s">
        <v>84</v>
      </c>
      <c r="B10" s="96">
        <f>IFERROR(VLOOKUP(A10,'👥 All Students'!$A:$C,2,0),"")</f>
        <v>0</v>
      </c>
      <c r="C10" s="96">
        <f>IFERROR(VLOOKUP(A10,'👥 All Students'!$A:$C,3,0),"")</f>
        <v>0</v>
      </c>
      <c r="D10" s="97">
        <f>IFERROR(VLOOKUP(A10,'📝 S1 Quiz'!$A:$L,12,0),"")</f>
        <v>18.5</v>
      </c>
      <c r="E10" s="98">
        <f>IFERROR(VLOOKUP(A10,'📄 S1 Exam'!$A:$D,4,0),"")</f>
        <v>51</v>
      </c>
      <c r="F10" s="99">
        <f t="shared" si="0"/>
        <v>69.5</v>
      </c>
      <c r="G10" s="100" t="str">
        <f t="shared" si="1"/>
        <v>✅</v>
      </c>
      <c r="H10" s="101" t="str">
        <f>IFERROR(VLOOKUP(A10,'📄 S1 Exam'!$A:$E,5,0),"")</f>
        <v>Attended</v>
      </c>
      <c r="I10" s="101" t="str">
        <f>IFERROR(VLOOKUP(A10,'📄 S1 Exam'!$A:$F,6,0),"")</f>
        <v>Not Attended</v>
      </c>
      <c r="J10" s="100" t="str">
        <f t="shared" si="2"/>
        <v>❌</v>
      </c>
      <c r="K10" s="100" t="str">
        <f t="shared" si="3"/>
        <v>❌ NOT YET</v>
      </c>
      <c r="L10" s="102">
        <f t="shared" si="4"/>
        <v>0.69499999999999995</v>
      </c>
      <c r="M10" s="100" t="str">
        <f t="shared" si="5"/>
        <v>Pass</v>
      </c>
      <c r="N10" s="96" t="str">
        <f t="shared" si="6"/>
        <v>Attendance incomplete.</v>
      </c>
    </row>
    <row r="11" spans="1:14" ht="18" customHeight="1">
      <c r="A11" s="95" t="s">
        <v>86</v>
      </c>
      <c r="B11" s="105">
        <f>IFERROR(VLOOKUP(A11,'👥 All Students'!$A:$C,2,0),"")</f>
        <v>0</v>
      </c>
      <c r="C11" s="105">
        <f>IFERROR(VLOOKUP(A11,'👥 All Students'!$A:$C,3,0),"")</f>
        <v>0</v>
      </c>
      <c r="D11" s="97">
        <f>IFERROR(VLOOKUP(A11,'📝 S1 Quiz'!$A:$L,12,0),"")</f>
        <v>7</v>
      </c>
      <c r="E11" s="98">
        <f>IFERROR(VLOOKUP(A11,'📄 S1 Exam'!$A:$D,4,0),"")</f>
        <v>51</v>
      </c>
      <c r="F11" s="99">
        <f t="shared" si="0"/>
        <v>58</v>
      </c>
      <c r="G11" s="109" t="str">
        <f t="shared" si="1"/>
        <v>✅</v>
      </c>
      <c r="H11" s="110" t="str">
        <f>IFERROR(VLOOKUP(A11,'📄 S1 Exam'!$A:$E,5,0),"")</f>
        <v>Not Attended</v>
      </c>
      <c r="I11" s="110" t="str">
        <f>IFERROR(VLOOKUP(A11,'📄 S1 Exam'!$A:$F,6,0),"")</f>
        <v>Not Attended</v>
      </c>
      <c r="J11" s="109" t="str">
        <f t="shared" si="2"/>
        <v>❌</v>
      </c>
      <c r="K11" s="109" t="str">
        <f t="shared" si="3"/>
        <v>❌ NOT YET</v>
      </c>
      <c r="L11" s="111">
        <f t="shared" si="4"/>
        <v>0.57999999999999996</v>
      </c>
      <c r="M11" s="109" t="str">
        <f t="shared" si="5"/>
        <v>Pass</v>
      </c>
      <c r="N11" s="105" t="str">
        <f t="shared" si="6"/>
        <v>Attendance incomplete.</v>
      </c>
    </row>
    <row r="12" spans="1:14" ht="18" customHeight="1">
      <c r="A12" s="95" t="s">
        <v>87</v>
      </c>
      <c r="B12" s="96">
        <f>IFERROR(VLOOKUP(A12,'👥 All Students'!$A:$C,2,0),"")</f>
        <v>0</v>
      </c>
      <c r="C12" s="96">
        <f>IFERROR(VLOOKUP(A12,'👥 All Students'!$A:$C,3,0),"")</f>
        <v>0</v>
      </c>
      <c r="D12" s="97">
        <f>IFERROR(VLOOKUP(A12,'📝 S1 Quiz'!$A:$L,12,0),"")</f>
        <v>28</v>
      </c>
      <c r="E12" s="98">
        <f>IFERROR(VLOOKUP(A12,'📄 S1 Exam'!$A:$D,4,0),"")</f>
        <v>51</v>
      </c>
      <c r="F12" s="99">
        <f t="shared" si="0"/>
        <v>79</v>
      </c>
      <c r="G12" s="100" t="str">
        <f t="shared" si="1"/>
        <v>✅</v>
      </c>
      <c r="H12" s="101" t="str">
        <f>IFERROR(VLOOKUP(A12,'📄 S1 Exam'!$A:$E,5,0),"")</f>
        <v>Attended</v>
      </c>
      <c r="I12" s="101" t="str">
        <f>IFERROR(VLOOKUP(A12,'📄 S1 Exam'!$A:$F,6,0),"")</f>
        <v>Not Attended</v>
      </c>
      <c r="J12" s="100" t="str">
        <f t="shared" si="2"/>
        <v>❌</v>
      </c>
      <c r="K12" s="100" t="str">
        <f t="shared" si="3"/>
        <v>❌ NOT YET</v>
      </c>
      <c r="L12" s="102">
        <f t="shared" si="4"/>
        <v>0.79</v>
      </c>
      <c r="M12" s="100" t="str">
        <f t="shared" si="5"/>
        <v>Merit</v>
      </c>
      <c r="N12" s="96" t="str">
        <f t="shared" si="6"/>
        <v>Attendance incomplete.</v>
      </c>
    </row>
    <row r="13" spans="1:14" ht="18" customHeight="1">
      <c r="A13" s="95" t="s">
        <v>88</v>
      </c>
      <c r="B13" s="105">
        <f>IFERROR(VLOOKUP(A13,'👥 All Students'!$A:$C,2,0),"")</f>
        <v>0</v>
      </c>
      <c r="C13" s="105">
        <f>IFERROR(VLOOKUP(A13,'👥 All Students'!$A:$C,3,0),"")</f>
        <v>0</v>
      </c>
      <c r="D13" s="97">
        <f>IFERROR(VLOOKUP(A13,'📝 S1 Quiz'!$A:$L,12,0),"")</f>
        <v>34</v>
      </c>
      <c r="E13" s="98">
        <f>IFERROR(VLOOKUP(A13,'📄 S1 Exam'!$A:$D,4,0),"")</f>
        <v>51</v>
      </c>
      <c r="F13" s="99">
        <f t="shared" si="0"/>
        <v>85</v>
      </c>
      <c r="G13" s="109" t="str">
        <f t="shared" si="1"/>
        <v>✅</v>
      </c>
      <c r="H13" s="110" t="str">
        <f>IFERROR(VLOOKUP(A13,'📄 S1 Exam'!$A:$E,5,0),"")</f>
        <v>Attended</v>
      </c>
      <c r="I13" s="110" t="str">
        <f>IFERROR(VLOOKUP(A13,'📄 S1 Exam'!$A:$F,6,0),"")</f>
        <v>Not Attended</v>
      </c>
      <c r="J13" s="109" t="str">
        <f t="shared" si="2"/>
        <v>❌</v>
      </c>
      <c r="K13" s="109" t="str">
        <f t="shared" si="3"/>
        <v>❌ NOT YET</v>
      </c>
      <c r="L13" s="111">
        <f t="shared" si="4"/>
        <v>0.85</v>
      </c>
      <c r="M13" s="109" t="str">
        <f t="shared" si="5"/>
        <v>Merit</v>
      </c>
      <c r="N13" s="105" t="str">
        <f t="shared" si="6"/>
        <v>Attendance incomplete.</v>
      </c>
    </row>
    <row r="14" spans="1:14" ht="18" customHeight="1">
      <c r="A14" s="95" t="s">
        <v>89</v>
      </c>
      <c r="B14" s="96">
        <f>IFERROR(VLOOKUP(A14,'👥 All Students'!$A:$C,2,0),"")</f>
        <v>0</v>
      </c>
      <c r="C14" s="96">
        <f>IFERROR(VLOOKUP(A14,'👥 All Students'!$A:$C,3,0),"")</f>
        <v>0</v>
      </c>
      <c r="D14" s="97">
        <f>IFERROR(VLOOKUP(A14,'📝 S1 Quiz'!$A:$L,12,0),"")</f>
        <v>26.5</v>
      </c>
      <c r="E14" s="98">
        <f>IFERROR(VLOOKUP(A14,'📄 S1 Exam'!$A:$D,4,0),"")</f>
        <v>51</v>
      </c>
      <c r="F14" s="99">
        <f t="shared" si="0"/>
        <v>77.5</v>
      </c>
      <c r="G14" s="100" t="str">
        <f t="shared" si="1"/>
        <v>✅</v>
      </c>
      <c r="H14" s="101" t="str">
        <f>IFERROR(VLOOKUP(A14,'📄 S1 Exam'!$A:$E,5,0),"")</f>
        <v>Attended</v>
      </c>
      <c r="I14" s="101" t="str">
        <f>IFERROR(VLOOKUP(A14,'📄 S1 Exam'!$A:$F,6,0),"")</f>
        <v>Not Attended</v>
      </c>
      <c r="J14" s="100" t="str">
        <f t="shared" si="2"/>
        <v>❌</v>
      </c>
      <c r="K14" s="100" t="str">
        <f t="shared" si="3"/>
        <v>❌ NOT YET</v>
      </c>
      <c r="L14" s="102">
        <f t="shared" si="4"/>
        <v>0.77500000000000002</v>
      </c>
      <c r="M14" s="100" t="str">
        <f t="shared" si="5"/>
        <v>Merit</v>
      </c>
      <c r="N14" s="96" t="str">
        <f t="shared" si="6"/>
        <v>Attendance incomplete.</v>
      </c>
    </row>
    <row r="15" spans="1:14" ht="18" customHeight="1">
      <c r="A15" s="95" t="s">
        <v>94</v>
      </c>
      <c r="B15" s="105">
        <f>IFERROR(VLOOKUP(A15,'👥 All Students'!$A:$C,2,0),"")</f>
        <v>0</v>
      </c>
      <c r="C15" s="105">
        <f>IFERROR(VLOOKUP(A15,'👥 All Students'!$A:$C,3,0),"")</f>
        <v>0</v>
      </c>
      <c r="D15" s="97">
        <f>IFERROR(VLOOKUP(A15,'📝 S1 Quiz'!$A:$L,12,0),"")</f>
        <v>33</v>
      </c>
      <c r="E15" s="98">
        <f>IFERROR(VLOOKUP(A15,'📄 S1 Exam'!$A:$D,4,0),"")</f>
        <v>51</v>
      </c>
      <c r="F15" s="99">
        <f t="shared" si="0"/>
        <v>84</v>
      </c>
      <c r="G15" s="109" t="str">
        <f t="shared" si="1"/>
        <v>✅</v>
      </c>
      <c r="H15" s="110" t="str">
        <f>IFERROR(VLOOKUP(A15,'📄 S1 Exam'!$A:$E,5,0),"")</f>
        <v>Attended</v>
      </c>
      <c r="I15" s="110" t="str">
        <f>IFERROR(VLOOKUP(A15,'📄 S1 Exam'!$A:$F,6,0),"")</f>
        <v>Not Attended</v>
      </c>
      <c r="J15" s="109" t="str">
        <f t="shared" si="2"/>
        <v>❌</v>
      </c>
      <c r="K15" s="109" t="str">
        <f t="shared" si="3"/>
        <v>❌ NOT YET</v>
      </c>
      <c r="L15" s="111">
        <f t="shared" si="4"/>
        <v>0.84</v>
      </c>
      <c r="M15" s="109" t="str">
        <f t="shared" si="5"/>
        <v>Merit</v>
      </c>
      <c r="N15" s="105" t="str">
        <f t="shared" si="6"/>
        <v>Attendance incomplete.</v>
      </c>
    </row>
    <row r="16" spans="1:14" ht="18" customHeight="1">
      <c r="A16" s="95" t="s">
        <v>97</v>
      </c>
      <c r="B16" s="96">
        <f>IFERROR(VLOOKUP(A16,'👥 All Students'!$A:$C,2,0),"")</f>
        <v>0</v>
      </c>
      <c r="C16" s="96">
        <f>IFERROR(VLOOKUP(A16,'👥 All Students'!$A:$C,3,0),"")</f>
        <v>0</v>
      </c>
      <c r="D16" s="97">
        <f>IFERROR(VLOOKUP(A16,'📝 S1 Quiz'!$A:$L,12,0),"")</f>
        <v>29</v>
      </c>
      <c r="E16" s="98">
        <f>IFERROR(VLOOKUP(A16,'📄 S1 Exam'!$A:$D,4,0),"")</f>
        <v>51</v>
      </c>
      <c r="F16" s="99">
        <f t="shared" si="0"/>
        <v>80</v>
      </c>
      <c r="G16" s="100" t="str">
        <f t="shared" si="1"/>
        <v>✅</v>
      </c>
      <c r="H16" s="101" t="str">
        <f>IFERROR(VLOOKUP(A16,'📄 S1 Exam'!$A:$E,5,0),"")</f>
        <v>Attended</v>
      </c>
      <c r="I16" s="101" t="str">
        <f>IFERROR(VLOOKUP(A16,'📄 S1 Exam'!$A:$F,6,0),"")</f>
        <v>Not Attended</v>
      </c>
      <c r="J16" s="100" t="str">
        <f t="shared" si="2"/>
        <v>❌</v>
      </c>
      <c r="K16" s="100" t="str">
        <f t="shared" si="3"/>
        <v>❌ NOT YET</v>
      </c>
      <c r="L16" s="102">
        <f t="shared" si="4"/>
        <v>0.8</v>
      </c>
      <c r="M16" s="100" t="str">
        <f t="shared" si="5"/>
        <v>Merit</v>
      </c>
      <c r="N16" s="96" t="str">
        <f t="shared" si="6"/>
        <v>Attendance incomplete.</v>
      </c>
    </row>
    <row r="17" spans="1:14" ht="18" customHeight="1">
      <c r="A17" s="95" t="s">
        <v>111</v>
      </c>
      <c r="B17" s="105">
        <f>IFERROR(VLOOKUP(A17,'👥 All Students'!$A:$C,2,0),"")</f>
        <v>0</v>
      </c>
      <c r="C17" s="105">
        <f>IFERROR(VLOOKUP(A17,'👥 All Students'!$A:$C,3,0),"")</f>
        <v>0</v>
      </c>
      <c r="D17" s="97">
        <f>IFERROR(VLOOKUP(A17,'📝 S1 Quiz'!$A:$L,12,0),"")</f>
        <v>34</v>
      </c>
      <c r="E17" s="98">
        <f>IFERROR(VLOOKUP(A17,'📄 S1 Exam'!$A:$D,4,0),"")</f>
        <v>51</v>
      </c>
      <c r="F17" s="99">
        <f t="shared" si="0"/>
        <v>85</v>
      </c>
      <c r="G17" s="109" t="str">
        <f t="shared" si="1"/>
        <v>✅</v>
      </c>
      <c r="H17" s="110" t="str">
        <f>IFERROR(VLOOKUP(A17,'📄 S1 Exam'!$A:$E,5,0),"")</f>
        <v>Attended</v>
      </c>
      <c r="I17" s="110" t="str">
        <f>IFERROR(VLOOKUP(A17,'📄 S1 Exam'!$A:$F,6,0),"")</f>
        <v>Not Attended</v>
      </c>
      <c r="J17" s="109" t="str">
        <f t="shared" si="2"/>
        <v>❌</v>
      </c>
      <c r="K17" s="109" t="str">
        <f t="shared" si="3"/>
        <v>❌ NOT YET</v>
      </c>
      <c r="L17" s="111">
        <f t="shared" si="4"/>
        <v>0.85</v>
      </c>
      <c r="M17" s="109" t="str">
        <f t="shared" si="5"/>
        <v>Merit</v>
      </c>
      <c r="N17" s="105" t="str">
        <f t="shared" si="6"/>
        <v>Attendance incomplete.</v>
      </c>
    </row>
    <row r="18" spans="1:14" ht="18" customHeight="1">
      <c r="A18" s="95" t="s">
        <v>117</v>
      </c>
      <c r="B18" s="96">
        <f>IFERROR(VLOOKUP(A18,'👥 All Students'!$A:$C,2,0),"")</f>
        <v>0</v>
      </c>
      <c r="C18" s="96">
        <f>IFERROR(VLOOKUP(A18,'👥 All Students'!$A:$C,3,0),"")</f>
        <v>0</v>
      </c>
      <c r="D18" s="97">
        <f>IFERROR(VLOOKUP(A18,'📝 S1 Quiz'!$A:$L,12,0),"")</f>
        <v>34</v>
      </c>
      <c r="E18" s="98">
        <f>IFERROR(VLOOKUP(A18,'📄 S1 Exam'!$A:$D,4,0),"")</f>
        <v>51</v>
      </c>
      <c r="F18" s="99">
        <f t="shared" si="0"/>
        <v>85</v>
      </c>
      <c r="G18" s="100" t="str">
        <f t="shared" si="1"/>
        <v>✅</v>
      </c>
      <c r="H18" s="101" t="str">
        <f>IFERROR(VLOOKUP(A18,'📄 S1 Exam'!$A:$E,5,0),"")</f>
        <v>Attended</v>
      </c>
      <c r="I18" s="101" t="str">
        <f>IFERROR(VLOOKUP(A18,'📄 S1 Exam'!$A:$F,6,0),"")</f>
        <v>Not Attended</v>
      </c>
      <c r="J18" s="100" t="str">
        <f t="shared" si="2"/>
        <v>❌</v>
      </c>
      <c r="K18" s="100" t="str">
        <f t="shared" si="3"/>
        <v>❌ NOT YET</v>
      </c>
      <c r="L18" s="102">
        <f t="shared" si="4"/>
        <v>0.85</v>
      </c>
      <c r="M18" s="100" t="str">
        <f t="shared" si="5"/>
        <v>Merit</v>
      </c>
      <c r="N18" s="96" t="str">
        <f t="shared" si="6"/>
        <v>Attendance incomplete.</v>
      </c>
    </row>
    <row r="19" spans="1:14" ht="18" customHeight="1">
      <c r="A19" s="95" t="s">
        <v>124</v>
      </c>
      <c r="B19" s="105">
        <f>IFERROR(VLOOKUP(A19,'👥 All Students'!$A:$C,2,0),"")</f>
        <v>0</v>
      </c>
      <c r="C19" s="105">
        <f>IFERROR(VLOOKUP(A19,'👥 All Students'!$A:$C,3,0),"")</f>
        <v>0</v>
      </c>
      <c r="D19" s="97">
        <f>IFERROR(VLOOKUP(A19,'📝 S1 Quiz'!$A:$L,12,0),"")</f>
        <v>35.5</v>
      </c>
      <c r="E19" s="98">
        <f>IFERROR(VLOOKUP(A19,'📄 S1 Exam'!$A:$D,4,0),"")</f>
        <v>43</v>
      </c>
      <c r="F19" s="99">
        <f t="shared" si="0"/>
        <v>78.5</v>
      </c>
      <c r="G19" s="109" t="str">
        <f t="shared" si="1"/>
        <v>✅</v>
      </c>
      <c r="H19" s="110" t="str">
        <f>IFERROR(VLOOKUP(A19,'📄 S1 Exam'!$A:$E,5,0),"")</f>
        <v>Attended</v>
      </c>
      <c r="I19" s="101" t="str">
        <f>IFERROR(VLOOKUP(A19,'📄 S1 Exam'!$A:$F,6,0),"")</f>
        <v>Not Attended</v>
      </c>
      <c r="J19" s="109" t="str">
        <f t="shared" si="2"/>
        <v>❌</v>
      </c>
      <c r="K19" s="109" t="str">
        <f t="shared" si="3"/>
        <v>❌ NOT YET</v>
      </c>
      <c r="L19" s="111">
        <f t="shared" si="4"/>
        <v>0.78500000000000003</v>
      </c>
      <c r="M19" s="109" t="str">
        <f t="shared" si="5"/>
        <v>Merit</v>
      </c>
      <c r="N19" s="105" t="str">
        <f t="shared" si="6"/>
        <v>Attendance incomplete.</v>
      </c>
    </row>
    <row r="20" spans="1:14" ht="18" customHeight="1">
      <c r="A20" s="95" t="s">
        <v>132</v>
      </c>
      <c r="B20" s="96">
        <f>IFERROR(VLOOKUP(A20,'👥 All Students'!$A:$C,2,0),"")</f>
        <v>0</v>
      </c>
      <c r="C20" s="96">
        <f>IFERROR(VLOOKUP(A20,'👥 All Students'!$A:$C,3,0),"")</f>
        <v>0</v>
      </c>
      <c r="D20" s="97">
        <f>IFERROR(VLOOKUP(A20,'📝 S1 Quiz'!$A:$L,12,0),"")</f>
        <v>28</v>
      </c>
      <c r="E20" s="98">
        <f>IFERROR(VLOOKUP(A20,'📄 S1 Exam'!$A:$D,4,0),"")</f>
        <v>29</v>
      </c>
      <c r="F20" s="99">
        <f t="shared" si="0"/>
        <v>57</v>
      </c>
      <c r="G20" s="100" t="str">
        <f t="shared" si="1"/>
        <v>✅</v>
      </c>
      <c r="H20" s="101" t="str">
        <f>IFERROR(VLOOKUP(A20,'📄 S1 Exam'!$A:$E,5,0),"")</f>
        <v>Attended</v>
      </c>
      <c r="I20" s="101" t="str">
        <f>IFERROR(VLOOKUP(A20,'📄 S1 Exam'!$A:$F,6,0),"")</f>
        <v>Not Attended</v>
      </c>
      <c r="J20" s="100" t="str">
        <f t="shared" si="2"/>
        <v>❌</v>
      </c>
      <c r="K20" s="100" t="str">
        <f t="shared" si="3"/>
        <v>❌ NOT YET</v>
      </c>
      <c r="L20" s="102">
        <f t="shared" si="4"/>
        <v>0.56999999999999995</v>
      </c>
      <c r="M20" s="100" t="str">
        <f t="shared" si="5"/>
        <v>Pass</v>
      </c>
      <c r="N20" s="96" t="str">
        <f t="shared" si="6"/>
        <v>Attendance incomplete.</v>
      </c>
    </row>
    <row r="21" spans="1:14" ht="18" customHeight="1">
      <c r="A21" s="95" t="s">
        <v>143</v>
      </c>
      <c r="B21" s="105">
        <f>IFERROR(VLOOKUP(A21,'👥 All Students'!$A:$C,2,0),"")</f>
        <v>0</v>
      </c>
      <c r="C21" s="105">
        <f>IFERROR(VLOOKUP(A21,'👥 All Students'!$A:$C,3,0),"")</f>
        <v>0</v>
      </c>
      <c r="D21" s="97">
        <f>IFERROR(VLOOKUP(A21,'📝 S1 Quiz'!$A:$L,12,0),"")</f>
        <v>28.5</v>
      </c>
      <c r="E21" s="98">
        <f>IFERROR(VLOOKUP(A21,'📄 S1 Exam'!$A:$D,4,0),"")</f>
        <v>35.5</v>
      </c>
      <c r="F21" s="99">
        <f t="shared" si="0"/>
        <v>64</v>
      </c>
      <c r="G21" s="109" t="str">
        <f t="shared" si="1"/>
        <v>✅</v>
      </c>
      <c r="H21" s="110" t="str">
        <f>IFERROR(VLOOKUP(A21,'📄 S1 Exam'!$A:$E,5,0),"")</f>
        <v>Attended</v>
      </c>
      <c r="I21" s="101" t="str">
        <f>IFERROR(VLOOKUP(A21,'📄 S1 Exam'!$A:$F,6,0),"")</f>
        <v>Not Attended</v>
      </c>
      <c r="J21" s="109" t="str">
        <f t="shared" si="2"/>
        <v>❌</v>
      </c>
      <c r="K21" s="109" t="str">
        <f t="shared" si="3"/>
        <v>❌ NOT YET</v>
      </c>
      <c r="L21" s="111">
        <f t="shared" si="4"/>
        <v>0.64</v>
      </c>
      <c r="M21" s="109" t="str">
        <f t="shared" si="5"/>
        <v>Pass</v>
      </c>
      <c r="N21" s="105" t="str">
        <f t="shared" si="6"/>
        <v>Attendance incomplete.</v>
      </c>
    </row>
    <row r="22" spans="1:14" ht="18" customHeight="1">
      <c r="A22" s="95" t="s">
        <v>148</v>
      </c>
      <c r="B22" s="96">
        <f>IFERROR(VLOOKUP(A22,'👥 All Students'!$A:$C,2,0),"")</f>
        <v>0</v>
      </c>
      <c r="C22" s="96">
        <f>IFERROR(VLOOKUP(A22,'👥 All Students'!$A:$C,3,0),"")</f>
        <v>0</v>
      </c>
      <c r="D22" s="97">
        <f>IFERROR(VLOOKUP(A22,'📝 S1 Quiz'!$A:$L,12,0),"")</f>
        <v>30.5</v>
      </c>
      <c r="E22" s="98">
        <f>IFERROR(VLOOKUP(A22,'📄 S1 Exam'!$A:$D,4,0),"")</f>
        <v>36.5</v>
      </c>
      <c r="F22" s="99">
        <f t="shared" si="0"/>
        <v>67</v>
      </c>
      <c r="G22" s="100" t="str">
        <f t="shared" si="1"/>
        <v>✅</v>
      </c>
      <c r="H22" s="101" t="str">
        <f>IFERROR(VLOOKUP(A22,'📄 S1 Exam'!$A:$E,5,0),"")</f>
        <v>Attended</v>
      </c>
      <c r="I22" s="101" t="str">
        <f>IFERROR(VLOOKUP(A22,'📄 S1 Exam'!$A:$F,6,0),"")</f>
        <v>Not Attended</v>
      </c>
      <c r="J22" s="100" t="str">
        <f t="shared" si="2"/>
        <v>❌</v>
      </c>
      <c r="K22" s="100" t="str">
        <f t="shared" si="3"/>
        <v>❌ NOT YET</v>
      </c>
      <c r="L22" s="102">
        <f t="shared" si="4"/>
        <v>0.67</v>
      </c>
      <c r="M22" s="100" t="str">
        <f t="shared" si="5"/>
        <v>Pass</v>
      </c>
      <c r="N22" s="96" t="str">
        <f t="shared" si="6"/>
        <v>Attendance incomplete.</v>
      </c>
    </row>
    <row r="23" spans="1:14" ht="18" customHeight="1">
      <c r="A23" s="95" t="s">
        <v>150</v>
      </c>
      <c r="B23" s="105">
        <f>IFERROR(VLOOKUP(A23,'👥 All Students'!$A:$C,2,0),"")</f>
        <v>0</v>
      </c>
      <c r="C23" s="105">
        <f>IFERROR(VLOOKUP(A23,'👥 All Students'!$A:$C,3,0),"")</f>
        <v>0</v>
      </c>
      <c r="D23" s="97">
        <f>IFERROR(VLOOKUP(A23,'📝 S1 Quiz'!$A:$L,12,0),"")</f>
        <v>28.5</v>
      </c>
      <c r="E23" s="98">
        <f>IFERROR(VLOOKUP(A23,'📄 S1 Exam'!$A:$D,4,0),"")</f>
        <v>34</v>
      </c>
      <c r="F23" s="99">
        <f t="shared" si="0"/>
        <v>62.5</v>
      </c>
      <c r="G23" s="109" t="str">
        <f t="shared" si="1"/>
        <v>✅</v>
      </c>
      <c r="H23" s="110" t="str">
        <f>IFERROR(VLOOKUP(A23,'📄 S1 Exam'!$A:$E,5,0),"")</f>
        <v>Attended</v>
      </c>
      <c r="I23" s="101" t="str">
        <f>IFERROR(VLOOKUP(A23,'📄 S1 Exam'!$A:$F,6,0),"")</f>
        <v>Not Attended</v>
      </c>
      <c r="J23" s="109" t="str">
        <f t="shared" si="2"/>
        <v>❌</v>
      </c>
      <c r="K23" s="109" t="str">
        <f t="shared" si="3"/>
        <v>❌ NOT YET</v>
      </c>
      <c r="L23" s="111">
        <f t="shared" si="4"/>
        <v>0.625</v>
      </c>
      <c r="M23" s="109" t="str">
        <f t="shared" si="5"/>
        <v>Pass</v>
      </c>
      <c r="N23" s="105" t="str">
        <f t="shared" si="6"/>
        <v>Attendance incomplete.</v>
      </c>
    </row>
    <row r="24" spans="1:14" ht="18" customHeight="1">
      <c r="A24" s="95" t="s">
        <v>153</v>
      </c>
      <c r="B24" s="96">
        <f>IFERROR(VLOOKUP(A24,'👥 All Students'!$A:$C,2,0),"")</f>
        <v>0</v>
      </c>
      <c r="C24" s="96">
        <f>IFERROR(VLOOKUP(A24,'👥 All Students'!$A:$C,3,0),"")</f>
        <v>0</v>
      </c>
      <c r="D24" s="97">
        <f>IFERROR(VLOOKUP(A24,'📝 S1 Quiz'!$A:$L,12,0),"")</f>
        <v>31</v>
      </c>
      <c r="E24" s="98">
        <f>IFERROR(VLOOKUP(A24,'📄 S1 Exam'!$A:$D,4,0),"")</f>
        <v>39.5</v>
      </c>
      <c r="F24" s="99">
        <f t="shared" si="0"/>
        <v>70.5</v>
      </c>
      <c r="G24" s="100" t="str">
        <f t="shared" si="1"/>
        <v>✅</v>
      </c>
      <c r="H24" s="101" t="str">
        <f>IFERROR(VLOOKUP(A24,'📄 S1 Exam'!$A:$E,5,0),"")</f>
        <v>Attended</v>
      </c>
      <c r="I24" s="101" t="str">
        <f>IFERROR(VLOOKUP(A24,'📄 S1 Exam'!$A:$F,6,0),"")</f>
        <v>Not Attended</v>
      </c>
      <c r="J24" s="100" t="str">
        <f t="shared" si="2"/>
        <v>❌</v>
      </c>
      <c r="K24" s="100" t="str">
        <f t="shared" si="3"/>
        <v>❌ NOT YET</v>
      </c>
      <c r="L24" s="102">
        <f t="shared" si="4"/>
        <v>0.70499999999999996</v>
      </c>
      <c r="M24" s="100" t="str">
        <f t="shared" si="5"/>
        <v>Pass</v>
      </c>
      <c r="N24" s="96" t="str">
        <f t="shared" si="6"/>
        <v>Attendance incomplete.</v>
      </c>
    </row>
    <row r="25" spans="1:14" ht="18" customHeight="1">
      <c r="A25" s="95" t="s">
        <v>154</v>
      </c>
      <c r="B25" s="105">
        <f>IFERROR(VLOOKUP(A25,'👥 All Students'!$A:$C,2,0),"")</f>
        <v>0</v>
      </c>
      <c r="C25" s="105">
        <f>IFERROR(VLOOKUP(A25,'👥 All Students'!$A:$C,3,0),"")</f>
        <v>0</v>
      </c>
      <c r="D25" s="97">
        <f>IFERROR(VLOOKUP(A25,'📝 S1 Quiz'!$A:$L,12,0),"")</f>
        <v>24.5</v>
      </c>
      <c r="E25" s="98">
        <f>IFERROR(VLOOKUP(A25,'📄 S1 Exam'!$A:$D,4,0),"")</f>
        <v>28</v>
      </c>
      <c r="F25" s="99">
        <f t="shared" si="0"/>
        <v>52.5</v>
      </c>
      <c r="G25" s="109" t="str">
        <f t="shared" si="1"/>
        <v>✅</v>
      </c>
      <c r="H25" s="110" t="str">
        <f>IFERROR(VLOOKUP(A25,'📄 S1 Exam'!$A:$E,5,0),"")</f>
        <v>Not Attended</v>
      </c>
      <c r="I25" s="110" t="str">
        <f>IFERROR(VLOOKUP(A25,'📄 S1 Exam'!$A:$F,6,0),"")</f>
        <v>Not Attended</v>
      </c>
      <c r="J25" s="109" t="str">
        <f t="shared" si="2"/>
        <v>❌</v>
      </c>
      <c r="K25" s="109" t="str">
        <f t="shared" si="3"/>
        <v>❌ NOT YET</v>
      </c>
      <c r="L25" s="111">
        <f t="shared" si="4"/>
        <v>0.52500000000000002</v>
      </c>
      <c r="M25" s="109" t="str">
        <f t="shared" si="5"/>
        <v>Pass</v>
      </c>
      <c r="N25" s="105" t="str">
        <f t="shared" si="6"/>
        <v>Attendance incomplete.</v>
      </c>
    </row>
    <row r="26" spans="1:14" ht="18" customHeight="1">
      <c r="A26" s="95" t="s">
        <v>155</v>
      </c>
      <c r="B26" s="96">
        <f>IFERROR(VLOOKUP(A26,'👥 All Students'!$A:$C,2,0),"")</f>
        <v>0</v>
      </c>
      <c r="C26" s="96">
        <f>IFERROR(VLOOKUP(A26,'👥 All Students'!$A:$C,3,0),"")</f>
        <v>0</v>
      </c>
      <c r="D26" s="97">
        <f>IFERROR(VLOOKUP(A26,'📝 S1 Quiz'!$A:$L,12,0),"")</f>
        <v>30.5</v>
      </c>
      <c r="E26" s="98">
        <f>IFERROR(VLOOKUP(A26,'📄 S1 Exam'!$A:$D,4,0),"")</f>
        <v>37</v>
      </c>
      <c r="F26" s="99">
        <f t="shared" si="0"/>
        <v>67.5</v>
      </c>
      <c r="G26" s="100" t="str">
        <f t="shared" si="1"/>
        <v>✅</v>
      </c>
      <c r="H26" s="101" t="str">
        <f>IFERROR(VLOOKUP(A26,'📄 S1 Exam'!$A:$E,5,0),"")</f>
        <v>Attended</v>
      </c>
      <c r="I26" s="101" t="str">
        <f>IFERROR(VLOOKUP(A26,'📄 S1 Exam'!$A:$F,6,0),"")</f>
        <v>Not Attended</v>
      </c>
      <c r="J26" s="100" t="str">
        <f t="shared" si="2"/>
        <v>❌</v>
      </c>
      <c r="K26" s="100" t="str">
        <f t="shared" si="3"/>
        <v>❌ NOT YET</v>
      </c>
      <c r="L26" s="102">
        <f t="shared" si="4"/>
        <v>0.67500000000000004</v>
      </c>
      <c r="M26" s="100" t="str">
        <f t="shared" si="5"/>
        <v>Pass</v>
      </c>
      <c r="N26" s="96" t="str">
        <f t="shared" si="6"/>
        <v>Attendance incomplete.</v>
      </c>
    </row>
    <row r="27" spans="1:14" ht="18" customHeight="1">
      <c r="A27" s="95" t="s">
        <v>156</v>
      </c>
      <c r="B27" s="105">
        <f>IFERROR(VLOOKUP(A27,'👥 All Students'!$A:$C,2,0),"")</f>
        <v>0</v>
      </c>
      <c r="C27" s="105">
        <f>IFERROR(VLOOKUP(A27,'👥 All Students'!$A:$C,3,0),"")</f>
        <v>0</v>
      </c>
      <c r="D27" s="97">
        <f>IFERROR(VLOOKUP(A27,'📝 S1 Quiz'!$A:$L,12,0),"")</f>
        <v>28</v>
      </c>
      <c r="E27" s="98">
        <f>IFERROR(VLOOKUP(A27,'📄 S1 Exam'!$A:$D,4,0),"")</f>
        <v>45</v>
      </c>
      <c r="F27" s="99">
        <f t="shared" si="0"/>
        <v>73</v>
      </c>
      <c r="G27" s="109" t="str">
        <f t="shared" si="1"/>
        <v>✅</v>
      </c>
      <c r="H27" s="110" t="str">
        <f>IFERROR(VLOOKUP(A27,'📄 S1 Exam'!$A:$E,5,0),"")</f>
        <v>Attended</v>
      </c>
      <c r="I27" s="110" t="str">
        <f>IFERROR(VLOOKUP(A27,'📄 S1 Exam'!$A:$F,6,0),"")</f>
        <v>Not Attended</v>
      </c>
      <c r="J27" s="109" t="str">
        <f t="shared" si="2"/>
        <v>❌</v>
      </c>
      <c r="K27" s="109" t="str">
        <f t="shared" si="3"/>
        <v>❌ NOT YET</v>
      </c>
      <c r="L27" s="111">
        <f t="shared" si="4"/>
        <v>0.73</v>
      </c>
      <c r="M27" s="109" t="str">
        <f t="shared" si="5"/>
        <v>Pass</v>
      </c>
      <c r="N27" s="105" t="str">
        <f t="shared" si="6"/>
        <v>Attendance incomplete.</v>
      </c>
    </row>
    <row r="28" spans="1:14" ht="18" customHeight="1">
      <c r="A28" s="95" t="s">
        <v>157</v>
      </c>
      <c r="B28" s="96">
        <f>IFERROR(VLOOKUP(A28,'👥 All Students'!$A:$C,2,0),"")</f>
        <v>0</v>
      </c>
      <c r="C28" s="96">
        <f>IFERROR(VLOOKUP(A28,'👥 All Students'!$A:$C,3,0),"")</f>
        <v>0</v>
      </c>
      <c r="D28" s="97">
        <f>IFERROR(VLOOKUP(A28,'📝 S1 Quiz'!$A:$L,12,0),"")</f>
        <v>17.5</v>
      </c>
      <c r="E28" s="98">
        <f>IFERROR(VLOOKUP(A28,'📄 S1 Exam'!$A:$D,4,0),"")</f>
        <v>0</v>
      </c>
      <c r="F28" s="99">
        <f t="shared" si="0"/>
        <v>17.5</v>
      </c>
      <c r="G28" s="100" t="str">
        <f t="shared" si="1"/>
        <v>❌</v>
      </c>
      <c r="H28" s="101" t="str">
        <f>IFERROR(VLOOKUP(A28,'📄 S1 Exam'!$A:$E,5,0),"")</f>
        <v>Not Attended</v>
      </c>
      <c r="I28" s="101" t="str">
        <f>IFERROR(VLOOKUP(A28,'📄 S1 Exam'!$A:$F,6,0),"")</f>
        <v>Not Attended</v>
      </c>
      <c r="J28" s="100" t="str">
        <f t="shared" si="2"/>
        <v>❌</v>
      </c>
      <c r="K28" s="100" t="str">
        <f t="shared" si="3"/>
        <v>❌ NOT YET</v>
      </c>
      <c r="L28" s="102">
        <f t="shared" si="4"/>
        <v>0.17499999999999999</v>
      </c>
      <c r="M28" s="100" t="str">
        <f t="shared" si="5"/>
        <v>Below Pass</v>
      </c>
      <c r="N28" s="96" t="str">
        <f t="shared" si="6"/>
        <v>Score 17.5/100 — needs 50. Attendance incomplete.</v>
      </c>
    </row>
    <row r="29" spans="1:14" ht="18" customHeight="1">
      <c r="A29" s="95" t="s">
        <v>158</v>
      </c>
      <c r="B29" s="105">
        <f>IFERROR(VLOOKUP(A29,'👥 All Students'!$A:$C,2,0),"")</f>
        <v>0</v>
      </c>
      <c r="C29" s="105">
        <f>IFERROR(VLOOKUP(A29,'👥 All Students'!$A:$C,3,0),"")</f>
        <v>0</v>
      </c>
      <c r="D29" s="97">
        <f>IFERROR(VLOOKUP(A29,'📝 S1 Quiz'!$A:$L,12,0),"")</f>
        <v>28.5</v>
      </c>
      <c r="E29" s="98">
        <f>IFERROR(VLOOKUP(A29,'📄 S1 Exam'!$A:$D,4,0),"")</f>
        <v>33.5</v>
      </c>
      <c r="F29" s="99">
        <f t="shared" si="0"/>
        <v>62</v>
      </c>
      <c r="G29" s="109" t="str">
        <f t="shared" si="1"/>
        <v>✅</v>
      </c>
      <c r="H29" s="110" t="str">
        <f>IFERROR(VLOOKUP(A29,'📄 S1 Exam'!$A:$E,5,0),"")</f>
        <v>Attended</v>
      </c>
      <c r="I29" s="110" t="str">
        <f>IFERROR(VLOOKUP(A29,'📄 S1 Exam'!$A:$F,6,0),"")</f>
        <v>Not Attended</v>
      </c>
      <c r="J29" s="109" t="str">
        <f t="shared" si="2"/>
        <v>❌</v>
      </c>
      <c r="K29" s="109" t="str">
        <f t="shared" si="3"/>
        <v>❌ NOT YET</v>
      </c>
      <c r="L29" s="111">
        <f t="shared" si="4"/>
        <v>0.62</v>
      </c>
      <c r="M29" s="109" t="str">
        <f t="shared" si="5"/>
        <v>Pass</v>
      </c>
      <c r="N29" s="105" t="str">
        <f t="shared" si="6"/>
        <v>Attendance incomplete.</v>
      </c>
    </row>
    <row r="30" spans="1:14" ht="18" customHeight="1">
      <c r="A30" s="95" t="s">
        <v>159</v>
      </c>
      <c r="B30" s="96">
        <f>IFERROR(VLOOKUP(A30,'👥 All Students'!$A:$C,2,0),"")</f>
        <v>0</v>
      </c>
      <c r="C30" s="96">
        <f>IFERROR(VLOOKUP(A30,'👥 All Students'!$A:$C,3,0),"")</f>
        <v>0</v>
      </c>
      <c r="D30" s="97">
        <f>IFERROR(VLOOKUP(A30,'📝 S1 Quiz'!$A:$L,12,0),"")</f>
        <v>35</v>
      </c>
      <c r="E30" s="98">
        <f>IFERROR(VLOOKUP(A30,'📄 S1 Exam'!$A:$D,4,0),"")</f>
        <v>51</v>
      </c>
      <c r="F30" s="99">
        <f t="shared" si="0"/>
        <v>86</v>
      </c>
      <c r="G30" s="100" t="str">
        <f t="shared" si="1"/>
        <v>✅</v>
      </c>
      <c r="H30" s="101" t="str">
        <f>IFERROR(VLOOKUP(A30,'📄 S1 Exam'!$A:$E,5,0),"")</f>
        <v>Attended</v>
      </c>
      <c r="I30" s="101" t="str">
        <f>IFERROR(VLOOKUP(A30,'📄 S1 Exam'!$A:$F,6,0),"")</f>
        <v>Not Attended</v>
      </c>
      <c r="J30" s="100" t="str">
        <f t="shared" si="2"/>
        <v>❌</v>
      </c>
      <c r="K30" s="100" t="str">
        <f t="shared" si="3"/>
        <v>❌ NOT YET</v>
      </c>
      <c r="L30" s="102">
        <f t="shared" si="4"/>
        <v>0.86</v>
      </c>
      <c r="M30" s="100" t="str">
        <f t="shared" si="5"/>
        <v>Merit</v>
      </c>
      <c r="N30" s="96" t="str">
        <f t="shared" si="6"/>
        <v>Attendance incomplete.</v>
      </c>
    </row>
    <row r="31" spans="1:14" ht="18" customHeight="1">
      <c r="A31" s="95" t="s">
        <v>208</v>
      </c>
      <c r="B31" s="105" t="str">
        <f>IFERROR(VLOOKUP(A31,'👥 All Students'!$A:$C,2,0),"")</f>
        <v/>
      </c>
      <c r="C31" s="105" t="str">
        <f>IFERROR(VLOOKUP(A31,'👥 All Students'!$A:$C,3,0),"")</f>
        <v/>
      </c>
      <c r="D31" s="97" t="str">
        <f>IFERROR(VLOOKUP(A31,'📝 S1 Quiz'!$A:$L,12,0),"")</f>
        <v/>
      </c>
      <c r="E31" s="98">
        <f>IFERROR(VLOOKUP(A31,'📄 S1 Exam'!$A:$D,4,0),"")</f>
        <v>0</v>
      </c>
      <c r="F31" s="99" t="str">
        <f t="shared" si="0"/>
        <v>—</v>
      </c>
      <c r="G31" s="109" t="str">
        <f t="shared" si="1"/>
        <v>—</v>
      </c>
      <c r="H31" s="110">
        <f>IFERROR(VLOOKUP(A31,'📄 S1 Exam'!$A:$E,5,0),"")</f>
        <v>0</v>
      </c>
      <c r="I31" s="110">
        <f>IFERROR(VLOOKUP(A31,'📄 S1 Exam'!$A:$F,6,0),"")</f>
        <v>0</v>
      </c>
      <c r="J31" s="109" t="str">
        <f t="shared" si="2"/>
        <v>❌</v>
      </c>
      <c r="K31" s="109" t="str">
        <f t="shared" si="3"/>
        <v>⏳ PENDING</v>
      </c>
      <c r="L31" s="111" t="str">
        <f t="shared" si="4"/>
        <v/>
      </c>
      <c r="M31" s="109" t="str">
        <f t="shared" si="5"/>
        <v/>
      </c>
      <c r="N31" s="105" t="str">
        <f t="shared" si="6"/>
        <v>Awaiting data</v>
      </c>
    </row>
    <row r="32" spans="1:14" ht="18" customHeight="1">
      <c r="A32" s="95" t="s">
        <v>160</v>
      </c>
      <c r="B32" s="96">
        <f>IFERROR(VLOOKUP(A32,'👥 All Students'!$A:$C,2,0),"")</f>
        <v>0</v>
      </c>
      <c r="C32" s="96">
        <f>IFERROR(VLOOKUP(A32,'👥 All Students'!$A:$C,3,0),"")</f>
        <v>0</v>
      </c>
      <c r="D32" s="97">
        <f>IFERROR(VLOOKUP(A32,'📝 S1 Quiz'!$A:$L,12,0),"")</f>
        <v>36</v>
      </c>
      <c r="E32" s="98">
        <f>IFERROR(VLOOKUP(A32,'📄 S1 Exam'!$A:$D,4,0),"")</f>
        <v>0</v>
      </c>
      <c r="F32" s="99">
        <f t="shared" si="0"/>
        <v>36</v>
      </c>
      <c r="G32" s="100" t="str">
        <f t="shared" si="1"/>
        <v>❌</v>
      </c>
      <c r="H32" s="101" t="str">
        <f>IFERROR(VLOOKUP(A32,'📄 S1 Exam'!$A:$E,5,0),"")</f>
        <v>Attended</v>
      </c>
      <c r="I32" s="101" t="str">
        <f>IFERROR(VLOOKUP(A32,'📄 S1 Exam'!$A:$F,6,0),"")</f>
        <v>Not Attended</v>
      </c>
      <c r="J32" s="100" t="str">
        <f t="shared" si="2"/>
        <v>❌</v>
      </c>
      <c r="K32" s="100" t="str">
        <f t="shared" si="3"/>
        <v>❌ NOT YET</v>
      </c>
      <c r="L32" s="102">
        <f t="shared" si="4"/>
        <v>0.36</v>
      </c>
      <c r="M32" s="100" t="str">
        <f t="shared" si="5"/>
        <v>Below Pass</v>
      </c>
      <c r="N32" s="96" t="str">
        <f t="shared" si="6"/>
        <v>Score 36/100 — needs 50. Attendance incomplete.</v>
      </c>
    </row>
    <row r="33" spans="1:14" ht="18" customHeight="1">
      <c r="A33" s="95" t="s">
        <v>162</v>
      </c>
      <c r="B33" s="105">
        <f>IFERROR(VLOOKUP(A33,'👥 All Students'!$A:$C,2,0),"")</f>
        <v>0</v>
      </c>
      <c r="C33" s="105">
        <f>IFERROR(VLOOKUP(A33,'👥 All Students'!$A:$C,3,0),"")</f>
        <v>0</v>
      </c>
      <c r="D33" s="97">
        <f>IFERROR(VLOOKUP(A33,'📝 S1 Quiz'!$A:$L,12,0),"")</f>
        <v>36</v>
      </c>
      <c r="E33" s="98">
        <f>IFERROR(VLOOKUP(A33,'📄 S1 Exam'!$A:$D,4,0),"")</f>
        <v>41</v>
      </c>
      <c r="F33" s="99">
        <f t="shared" si="0"/>
        <v>77</v>
      </c>
      <c r="G33" s="109" t="str">
        <f t="shared" si="1"/>
        <v>✅</v>
      </c>
      <c r="H33" s="110" t="str">
        <f>IFERROR(VLOOKUP(A33,'📄 S1 Exam'!$A:$E,5,0),"")</f>
        <v>Attended</v>
      </c>
      <c r="I33" s="110" t="str">
        <f>IFERROR(VLOOKUP(A33,'📄 S1 Exam'!$A:$F,6,0),"")</f>
        <v>Not Attended</v>
      </c>
      <c r="J33" s="109" t="str">
        <f t="shared" si="2"/>
        <v>❌</v>
      </c>
      <c r="K33" s="109" t="str">
        <f t="shared" si="3"/>
        <v>❌ NOT YET</v>
      </c>
      <c r="L33" s="111">
        <f t="shared" si="4"/>
        <v>0.77</v>
      </c>
      <c r="M33" s="109" t="str">
        <f t="shared" si="5"/>
        <v>Merit</v>
      </c>
      <c r="N33" s="105" t="str">
        <f t="shared" si="6"/>
        <v>Attendance incomplete.</v>
      </c>
    </row>
    <row r="34" spans="1:14" ht="18" customHeight="1">
      <c r="A34" s="95" t="s">
        <v>166</v>
      </c>
      <c r="B34" s="96">
        <f>IFERROR(VLOOKUP(A34,'👥 All Students'!$A:$C,2,0),"")</f>
        <v>0</v>
      </c>
      <c r="C34" s="96">
        <f>IFERROR(VLOOKUP(A34,'👥 All Students'!$A:$C,3,0),"")</f>
        <v>0</v>
      </c>
      <c r="D34" s="97">
        <f>IFERROR(VLOOKUP(A34,'📝 S1 Quiz'!$A:$L,12,0),"")</f>
        <v>33.5</v>
      </c>
      <c r="E34" s="98">
        <f>IFERROR(VLOOKUP(A34,'📄 S1 Exam'!$A:$D,4,0),"")</f>
        <v>38.5</v>
      </c>
      <c r="F34" s="99">
        <f t="shared" si="0"/>
        <v>72</v>
      </c>
      <c r="G34" s="100" t="str">
        <f t="shared" si="1"/>
        <v>✅</v>
      </c>
      <c r="H34" s="101" t="str">
        <f>IFERROR(VLOOKUP(A34,'📄 S1 Exam'!$A:$E,5,0),"")</f>
        <v>Attended</v>
      </c>
      <c r="I34" s="101" t="str">
        <f>IFERROR(VLOOKUP(A34,'📄 S1 Exam'!$A:$F,6,0),"")</f>
        <v>Not Attended</v>
      </c>
      <c r="J34" s="100" t="str">
        <f t="shared" si="2"/>
        <v>❌</v>
      </c>
      <c r="K34" s="100" t="str">
        <f t="shared" si="3"/>
        <v>❌ NOT YET</v>
      </c>
      <c r="L34" s="102">
        <f t="shared" si="4"/>
        <v>0.72</v>
      </c>
      <c r="M34" s="100" t="str">
        <f t="shared" si="5"/>
        <v>Pass</v>
      </c>
      <c r="N34" s="96" t="str">
        <f t="shared" si="6"/>
        <v>Attendance incomplete.</v>
      </c>
    </row>
    <row r="35" spans="1:14" ht="18" customHeight="1">
      <c r="A35" s="95" t="s">
        <v>173</v>
      </c>
      <c r="B35" s="105">
        <f>IFERROR(VLOOKUP(A35,'👥 All Students'!$A:$C,2,0),"")</f>
        <v>0</v>
      </c>
      <c r="C35" s="105">
        <f>IFERROR(VLOOKUP(A35,'👥 All Students'!$A:$C,3,0),"")</f>
        <v>0</v>
      </c>
      <c r="D35" s="97">
        <f>IFERROR(VLOOKUP(A35,'📝 S1 Quiz'!$A:$L,12,0),"")</f>
        <v>23.5</v>
      </c>
      <c r="E35" s="98">
        <f>IFERROR(VLOOKUP(A35,'📄 S1 Exam'!$A:$D,4,0),"")</f>
        <v>0</v>
      </c>
      <c r="F35" s="99">
        <f t="shared" si="0"/>
        <v>23.5</v>
      </c>
      <c r="G35" s="109" t="str">
        <f t="shared" si="1"/>
        <v>❌</v>
      </c>
      <c r="H35" s="110">
        <f>IFERROR(VLOOKUP(A35,'📄 S1 Exam'!$A:$E,5,0),"")</f>
        <v>0</v>
      </c>
      <c r="I35" s="110" t="str">
        <f>IFERROR(VLOOKUP(A35,'📄 S1 Exam'!$A:$F,6,0),"")</f>
        <v>Not Attended</v>
      </c>
      <c r="J35" s="109" t="str">
        <f t="shared" si="2"/>
        <v>❌</v>
      </c>
      <c r="K35" s="109" t="str">
        <f t="shared" si="3"/>
        <v>❌ NOT YET</v>
      </c>
      <c r="L35" s="111">
        <f t="shared" si="4"/>
        <v>0.23499999999999999</v>
      </c>
      <c r="M35" s="109" t="str">
        <f t="shared" si="5"/>
        <v>Below Pass</v>
      </c>
      <c r="N35" s="105" t="str">
        <f t="shared" si="6"/>
        <v>Score 23.5/100 — needs 50. Attendance incomplete.</v>
      </c>
    </row>
    <row r="36" spans="1:14" ht="18" customHeight="1">
      <c r="A36" s="95" t="s">
        <v>175</v>
      </c>
      <c r="B36" s="96">
        <f>IFERROR(VLOOKUP(A36,'👥 All Students'!$A:$C,2,0),"")</f>
        <v>0</v>
      </c>
      <c r="C36" s="96">
        <f>IFERROR(VLOOKUP(A36,'👥 All Students'!$A:$C,3,0),"")</f>
        <v>0</v>
      </c>
      <c r="D36" s="97">
        <f>IFERROR(VLOOKUP(A36,'📝 S1 Quiz'!$A:$L,12,0),"")</f>
        <v>32.5</v>
      </c>
      <c r="E36" s="98">
        <f>IFERROR(VLOOKUP(A36,'📄 S1 Exam'!$A:$D,4,0),"")</f>
        <v>27</v>
      </c>
      <c r="F36" s="99">
        <f t="shared" si="0"/>
        <v>59.5</v>
      </c>
      <c r="G36" s="100" t="str">
        <f t="shared" si="1"/>
        <v>✅</v>
      </c>
      <c r="H36" s="101" t="str">
        <f>IFERROR(VLOOKUP(A36,'📄 S1 Exam'!$A:$E,5,0),"")</f>
        <v>Attended</v>
      </c>
      <c r="I36" s="101" t="str">
        <f>IFERROR(VLOOKUP(A36,'📄 S1 Exam'!$A:$F,6,0),"")</f>
        <v>Not Attended</v>
      </c>
      <c r="J36" s="100" t="str">
        <f t="shared" si="2"/>
        <v>❌</v>
      </c>
      <c r="K36" s="100" t="str">
        <f t="shared" si="3"/>
        <v>❌ NOT YET</v>
      </c>
      <c r="L36" s="102">
        <f t="shared" si="4"/>
        <v>0.59499999999999997</v>
      </c>
      <c r="M36" s="100" t="str">
        <f t="shared" si="5"/>
        <v>Pass</v>
      </c>
      <c r="N36" s="96" t="str">
        <f t="shared" si="6"/>
        <v>Attendance incomplete.</v>
      </c>
    </row>
    <row r="37" spans="1:14" ht="18" customHeight="1">
      <c r="A37" s="95" t="s">
        <v>178</v>
      </c>
      <c r="B37" s="105">
        <f>IFERROR(VLOOKUP(A37,'👥 All Students'!$A:$C,2,0),"")</f>
        <v>0</v>
      </c>
      <c r="C37" s="105">
        <f>IFERROR(VLOOKUP(A37,'👥 All Students'!$A:$C,3,0),"")</f>
        <v>0</v>
      </c>
      <c r="D37" s="97">
        <f>IFERROR(VLOOKUP(A37,'📝 S1 Quiz'!$A:$L,12,0),"")</f>
        <v>28.5</v>
      </c>
      <c r="E37" s="98">
        <f>IFERROR(VLOOKUP(A37,'📄 S1 Exam'!$A:$D,4,0),"")</f>
        <v>21</v>
      </c>
      <c r="F37" s="99">
        <f t="shared" si="0"/>
        <v>49.5</v>
      </c>
      <c r="G37" s="109" t="str">
        <f t="shared" si="1"/>
        <v>❌</v>
      </c>
      <c r="H37" s="110" t="str">
        <f>IFERROR(VLOOKUP(A37,'📄 S1 Exam'!$A:$E,5,0),"")</f>
        <v>Attended</v>
      </c>
      <c r="I37" s="110" t="str">
        <f>IFERROR(VLOOKUP(A37,'📄 S1 Exam'!$A:$F,6,0),"")</f>
        <v>Not Attended</v>
      </c>
      <c r="J37" s="109" t="str">
        <f t="shared" si="2"/>
        <v>❌</v>
      </c>
      <c r="K37" s="109" t="str">
        <f t="shared" si="3"/>
        <v>❌ NOT YET</v>
      </c>
      <c r="L37" s="111">
        <f t="shared" si="4"/>
        <v>0.495</v>
      </c>
      <c r="M37" s="109" t="str">
        <f t="shared" si="5"/>
        <v>Below Pass</v>
      </c>
      <c r="N37" s="105" t="str">
        <f t="shared" si="6"/>
        <v>Score 49.5/100 — needs 50. Attendance incomplete.</v>
      </c>
    </row>
    <row r="38" spans="1:14" ht="18" customHeight="1">
      <c r="A38" s="95" t="s">
        <v>179</v>
      </c>
      <c r="B38" s="96">
        <f>IFERROR(VLOOKUP(A38,'👥 All Students'!$A:$C,2,0),"")</f>
        <v>0</v>
      </c>
      <c r="C38" s="96">
        <f>IFERROR(VLOOKUP(A38,'👥 All Students'!$A:$C,3,0),"")</f>
        <v>0</v>
      </c>
      <c r="D38" s="97">
        <f>IFERROR(VLOOKUP(A38,'📝 S1 Quiz'!$A:$L,12,0),"")</f>
        <v>31</v>
      </c>
      <c r="E38" s="98">
        <f>IFERROR(VLOOKUP(A38,'📄 S1 Exam'!$A:$D,4,0),"")</f>
        <v>0</v>
      </c>
      <c r="F38" s="99">
        <f t="shared" si="0"/>
        <v>31</v>
      </c>
      <c r="G38" s="100" t="str">
        <f t="shared" si="1"/>
        <v>❌</v>
      </c>
      <c r="H38" s="101">
        <f>IFERROR(VLOOKUP(A38,'📄 S1 Exam'!$A:$E,5,0),"")</f>
        <v>0</v>
      </c>
      <c r="I38" s="101" t="str">
        <f>IFERROR(VLOOKUP(A38,'📄 S1 Exam'!$A:$F,6,0),"")</f>
        <v>Not Attended</v>
      </c>
      <c r="J38" s="100" t="str">
        <f t="shared" si="2"/>
        <v>❌</v>
      </c>
      <c r="K38" s="100" t="str">
        <f t="shared" si="3"/>
        <v>❌ NOT YET</v>
      </c>
      <c r="L38" s="102">
        <f t="shared" si="4"/>
        <v>0.31</v>
      </c>
      <c r="M38" s="100" t="str">
        <f t="shared" si="5"/>
        <v>Below Pass</v>
      </c>
      <c r="N38" s="96" t="str">
        <f t="shared" si="6"/>
        <v>Score 31/100 — needs 50. Attendance incomplete.</v>
      </c>
    </row>
    <row r="39" spans="1:14" ht="18" customHeight="1">
      <c r="A39" s="95" t="s">
        <v>182</v>
      </c>
      <c r="B39" s="105">
        <f>IFERROR(VLOOKUP(A39,'👥 All Students'!$A:$C,2,0),"")</f>
        <v>0</v>
      </c>
      <c r="C39" s="105">
        <f>IFERROR(VLOOKUP(A39,'👥 All Students'!$A:$C,3,0),"")</f>
        <v>0</v>
      </c>
      <c r="D39" s="97">
        <f>IFERROR(VLOOKUP(A39,'📝 S1 Quiz'!$A:$L,12,0),"")</f>
        <v>37.5</v>
      </c>
      <c r="E39" s="98">
        <f>IFERROR(VLOOKUP(A39,'📄 S1 Exam'!$A:$D,4,0),"")</f>
        <v>47</v>
      </c>
      <c r="F39" s="99">
        <f t="shared" si="0"/>
        <v>84.5</v>
      </c>
      <c r="G39" s="109" t="str">
        <f t="shared" si="1"/>
        <v>✅</v>
      </c>
      <c r="H39" s="110" t="str">
        <f>IFERROR(VLOOKUP(A39,'📄 S1 Exam'!$A:$E,5,0),"")</f>
        <v>Attended</v>
      </c>
      <c r="I39" s="110" t="str">
        <f>IFERROR(VLOOKUP(A39,'📄 S1 Exam'!$A:$F,6,0),"")</f>
        <v>Not Attended</v>
      </c>
      <c r="J39" s="109" t="str">
        <f t="shared" si="2"/>
        <v>❌</v>
      </c>
      <c r="K39" s="109" t="str">
        <f t="shared" si="3"/>
        <v>❌ NOT YET</v>
      </c>
      <c r="L39" s="111">
        <f t="shared" si="4"/>
        <v>0.84499999999999997</v>
      </c>
      <c r="M39" s="109" t="str">
        <f t="shared" si="5"/>
        <v>Merit</v>
      </c>
      <c r="N39" s="105" t="str">
        <f t="shared" si="6"/>
        <v>Attendance incomplete.</v>
      </c>
    </row>
    <row r="40" spans="1:14" ht="18" customHeight="1">
      <c r="A40" s="95" t="s">
        <v>185</v>
      </c>
      <c r="B40" s="96">
        <f>IFERROR(VLOOKUP(A40,'👥 All Students'!$A:$C,2,0),"")</f>
        <v>0</v>
      </c>
      <c r="C40" s="96">
        <f>IFERROR(VLOOKUP(A40,'👥 All Students'!$A:$C,3,0),"")</f>
        <v>0</v>
      </c>
      <c r="D40" s="97">
        <f>IFERROR(VLOOKUP(A40,'📝 S1 Quiz'!$A:$L,12,0),"")</f>
        <v>36.5</v>
      </c>
      <c r="E40" s="98">
        <f>IFERROR(VLOOKUP(A40,'📄 S1 Exam'!$A:$D,4,0),"")</f>
        <v>44</v>
      </c>
      <c r="F40" s="99">
        <f t="shared" si="0"/>
        <v>80.5</v>
      </c>
      <c r="G40" s="100" t="str">
        <f t="shared" si="1"/>
        <v>✅</v>
      </c>
      <c r="H40" s="101" t="str">
        <f>IFERROR(VLOOKUP(A40,'📄 S1 Exam'!$A:$E,5,0),"")</f>
        <v>Attended</v>
      </c>
      <c r="I40" s="101" t="str">
        <f>IFERROR(VLOOKUP(A40,'📄 S1 Exam'!$A:$F,6,0),"")</f>
        <v>Not Attended</v>
      </c>
      <c r="J40" s="100" t="str">
        <f t="shared" si="2"/>
        <v>❌</v>
      </c>
      <c r="K40" s="100" t="str">
        <f t="shared" si="3"/>
        <v>❌ NOT YET</v>
      </c>
      <c r="L40" s="102">
        <f t="shared" si="4"/>
        <v>0.80500000000000005</v>
      </c>
      <c r="M40" s="100" t="str">
        <f t="shared" si="5"/>
        <v>Merit</v>
      </c>
      <c r="N40" s="96" t="str">
        <f t="shared" si="6"/>
        <v>Attendance incomplete.</v>
      </c>
    </row>
    <row r="41" spans="1:14" ht="18" customHeight="1">
      <c r="A41" s="95" t="s">
        <v>188</v>
      </c>
      <c r="B41" s="105">
        <f>IFERROR(VLOOKUP(A41,'👥 All Students'!$A:$C,2,0),"")</f>
        <v>0</v>
      </c>
      <c r="C41" s="105">
        <f>IFERROR(VLOOKUP(A41,'👥 All Students'!$A:$C,3,0),"")</f>
        <v>0</v>
      </c>
      <c r="D41" s="97">
        <f>IFERROR(VLOOKUP(A41,'📝 S1 Quiz'!$A:$L,12,0),"")</f>
        <v>22.5</v>
      </c>
      <c r="E41" s="98">
        <f>IFERROR(VLOOKUP(A41,'📄 S1 Exam'!$A:$D,4,0),"")</f>
        <v>19.5</v>
      </c>
      <c r="F41" s="99">
        <f t="shared" si="0"/>
        <v>42</v>
      </c>
      <c r="G41" s="109" t="str">
        <f t="shared" si="1"/>
        <v>❌</v>
      </c>
      <c r="H41" s="110" t="str">
        <f>IFERROR(VLOOKUP(A41,'📄 S1 Exam'!$A:$E,5,0),"")</f>
        <v>Attended</v>
      </c>
      <c r="I41" s="110" t="str">
        <f>IFERROR(VLOOKUP(A41,'📄 S1 Exam'!$A:$F,6,0),"")</f>
        <v>Not Attended</v>
      </c>
      <c r="J41" s="109" t="str">
        <f t="shared" si="2"/>
        <v>❌</v>
      </c>
      <c r="K41" s="109" t="str">
        <f t="shared" si="3"/>
        <v>❌ NOT YET</v>
      </c>
      <c r="L41" s="111">
        <f t="shared" si="4"/>
        <v>0.42</v>
      </c>
      <c r="M41" s="109" t="str">
        <f t="shared" si="5"/>
        <v>Below Pass</v>
      </c>
      <c r="N41" s="105" t="str">
        <f t="shared" si="6"/>
        <v>Score 42/100 — needs 50. Attendance incomplete.</v>
      </c>
    </row>
    <row r="42" spans="1:14" ht="18" customHeight="1">
      <c r="A42" s="95" t="s">
        <v>189</v>
      </c>
      <c r="B42" s="96">
        <f>IFERROR(VLOOKUP(A42,'👥 All Students'!$A:$C,2,0),"")</f>
        <v>0</v>
      </c>
      <c r="C42" s="96">
        <f>IFERROR(VLOOKUP(A42,'👥 All Students'!$A:$C,3,0),"")</f>
        <v>0</v>
      </c>
      <c r="D42" s="97">
        <f>IFERROR(VLOOKUP(A42,'📝 S1 Quiz'!$A:$L,12,0),"")</f>
        <v>37.5</v>
      </c>
      <c r="E42" s="98">
        <f>IFERROR(VLOOKUP(A42,'📄 S1 Exam'!$A:$D,4,0),"")</f>
        <v>0</v>
      </c>
      <c r="F42" s="99">
        <f t="shared" si="0"/>
        <v>37.5</v>
      </c>
      <c r="G42" s="100" t="str">
        <f t="shared" si="1"/>
        <v>❌</v>
      </c>
      <c r="H42" s="101" t="str">
        <f>IFERROR(VLOOKUP(A42,'📄 S1 Exam'!$A:$E,5,0),"")</f>
        <v>Attended</v>
      </c>
      <c r="I42" s="101" t="str">
        <f>IFERROR(VLOOKUP(A42,'📄 S1 Exam'!$A:$F,6,0),"")</f>
        <v>Not Attended</v>
      </c>
      <c r="J42" s="100" t="str">
        <f t="shared" si="2"/>
        <v>❌</v>
      </c>
      <c r="K42" s="100" t="str">
        <f t="shared" si="3"/>
        <v>❌ NOT YET</v>
      </c>
      <c r="L42" s="102">
        <f t="shared" si="4"/>
        <v>0.375</v>
      </c>
      <c r="M42" s="100" t="str">
        <f t="shared" si="5"/>
        <v>Below Pass</v>
      </c>
      <c r="N42" s="96" t="str">
        <f t="shared" si="6"/>
        <v>Score 37.5/100 — needs 50. Attendance incomplete.</v>
      </c>
    </row>
    <row r="43" spans="1:14" ht="18" customHeight="1">
      <c r="A43" s="95" t="s">
        <v>190</v>
      </c>
      <c r="B43" s="105">
        <f>IFERROR(VLOOKUP(A43,'👥 All Students'!$A:$C,2,0),"")</f>
        <v>0</v>
      </c>
      <c r="C43" s="105">
        <f>IFERROR(VLOOKUP(A43,'👥 All Students'!$A:$C,3,0),"")</f>
        <v>0</v>
      </c>
      <c r="D43" s="97">
        <f>IFERROR(VLOOKUP(A43,'📝 S1 Quiz'!$A:$L,12,0),"")</f>
        <v>28</v>
      </c>
      <c r="E43" s="98">
        <f>IFERROR(VLOOKUP(A43,'📄 S1 Exam'!$A:$D,4,0),"")</f>
        <v>28</v>
      </c>
      <c r="F43" s="99">
        <f t="shared" si="0"/>
        <v>56</v>
      </c>
      <c r="G43" s="109" t="str">
        <f t="shared" si="1"/>
        <v>✅</v>
      </c>
      <c r="H43" s="110" t="str">
        <f>IFERROR(VLOOKUP(A43,'📄 S1 Exam'!$A:$E,5,0),"")</f>
        <v>Attended</v>
      </c>
      <c r="I43" s="110" t="str">
        <f>IFERROR(VLOOKUP(A43,'📄 S1 Exam'!$A:$F,6,0),"")</f>
        <v>Not Attended</v>
      </c>
      <c r="J43" s="109" t="str">
        <f t="shared" si="2"/>
        <v>❌</v>
      </c>
      <c r="K43" s="109" t="str">
        <f t="shared" si="3"/>
        <v>❌ NOT YET</v>
      </c>
      <c r="L43" s="111">
        <f t="shared" si="4"/>
        <v>0.56000000000000005</v>
      </c>
      <c r="M43" s="109" t="str">
        <f t="shared" si="5"/>
        <v>Pass</v>
      </c>
      <c r="N43" s="105" t="str">
        <f t="shared" si="6"/>
        <v>Attendance incomplete.</v>
      </c>
    </row>
    <row r="44" spans="1:14" ht="18" customHeight="1">
      <c r="A44" s="95" t="s">
        <v>191</v>
      </c>
      <c r="B44" s="96">
        <f>IFERROR(VLOOKUP(A44,'👥 All Students'!$A:$C,2,0),"")</f>
        <v>0</v>
      </c>
      <c r="C44" s="96">
        <f>IFERROR(VLOOKUP(A44,'👥 All Students'!$A:$C,3,0),"")</f>
        <v>0</v>
      </c>
      <c r="D44" s="97">
        <f>IFERROR(VLOOKUP(A44,'📝 S1 Quiz'!$A:$L,12,0),"")</f>
        <v>31.5</v>
      </c>
      <c r="E44" s="98">
        <f>IFERROR(VLOOKUP(A44,'📄 S1 Exam'!$A:$D,4,0),"")</f>
        <v>35</v>
      </c>
      <c r="F44" s="99">
        <f t="shared" si="0"/>
        <v>66.5</v>
      </c>
      <c r="G44" s="100" t="str">
        <f t="shared" si="1"/>
        <v>✅</v>
      </c>
      <c r="H44" s="101" t="str">
        <f>IFERROR(VLOOKUP(A44,'📄 S1 Exam'!$A:$E,5,0),"")</f>
        <v>Attended</v>
      </c>
      <c r="I44" s="101" t="str">
        <f>IFERROR(VLOOKUP(A44,'📄 S1 Exam'!$A:$F,6,0),"")</f>
        <v>Not Attended</v>
      </c>
      <c r="J44" s="100" t="str">
        <f t="shared" si="2"/>
        <v>❌</v>
      </c>
      <c r="K44" s="100" t="str">
        <f t="shared" si="3"/>
        <v>❌ NOT YET</v>
      </c>
      <c r="L44" s="102">
        <f t="shared" si="4"/>
        <v>0.66500000000000004</v>
      </c>
      <c r="M44" s="100" t="str">
        <f t="shared" si="5"/>
        <v>Pass</v>
      </c>
      <c r="N44" s="96" t="str">
        <f t="shared" si="6"/>
        <v>Attendance incomplete.</v>
      </c>
    </row>
    <row r="45" spans="1:14" ht="18" customHeight="1">
      <c r="A45" s="95" t="s">
        <v>192</v>
      </c>
      <c r="B45" s="105">
        <f>IFERROR(VLOOKUP(A45,'👥 All Students'!$A:$C,2,0),"")</f>
        <v>0</v>
      </c>
      <c r="C45" s="105">
        <f>IFERROR(VLOOKUP(A45,'👥 All Students'!$A:$C,3,0),"")</f>
        <v>0</v>
      </c>
      <c r="D45" s="97">
        <f>IFERROR(VLOOKUP(A45,'📝 S1 Quiz'!$A:$L,12,0),"")</f>
        <v>31</v>
      </c>
      <c r="E45" s="98">
        <f>IFERROR(VLOOKUP(A45,'📄 S1 Exam'!$A:$D,4,0),"")</f>
        <v>47</v>
      </c>
      <c r="F45" s="99">
        <f t="shared" si="0"/>
        <v>78</v>
      </c>
      <c r="G45" s="109" t="str">
        <f t="shared" si="1"/>
        <v>✅</v>
      </c>
      <c r="H45" s="110" t="str">
        <f>IFERROR(VLOOKUP(A45,'📄 S1 Exam'!$A:$E,5,0),"")</f>
        <v>Attended</v>
      </c>
      <c r="I45" s="110" t="str">
        <f>IFERROR(VLOOKUP(A45,'📄 S1 Exam'!$A:$F,6,0),"")</f>
        <v>Not Attended</v>
      </c>
      <c r="J45" s="109" t="str">
        <f t="shared" si="2"/>
        <v>❌</v>
      </c>
      <c r="K45" s="109" t="str">
        <f t="shared" si="3"/>
        <v>❌ NOT YET</v>
      </c>
      <c r="L45" s="111">
        <f t="shared" si="4"/>
        <v>0.78</v>
      </c>
      <c r="M45" s="109" t="str">
        <f t="shared" si="5"/>
        <v>Merit</v>
      </c>
      <c r="N45" s="105" t="str">
        <f t="shared" si="6"/>
        <v>Attendance incomplete.</v>
      </c>
    </row>
    <row r="46" spans="1:14" ht="18" customHeight="1">
      <c r="A46" s="95" t="s">
        <v>193</v>
      </c>
      <c r="B46" s="96">
        <f>IFERROR(VLOOKUP(A46,'👥 All Students'!$A:$C,2,0),"")</f>
        <v>0</v>
      </c>
      <c r="C46" s="96">
        <f>IFERROR(VLOOKUP(A46,'👥 All Students'!$A:$C,3,0),"")</f>
        <v>0</v>
      </c>
      <c r="D46" s="97">
        <f>IFERROR(VLOOKUP(A46,'📝 S1 Quiz'!$A:$L,12,0),"")</f>
        <v>15</v>
      </c>
      <c r="E46" s="98">
        <f>IFERROR(VLOOKUP(A46,'📄 S1 Exam'!$A:$D,4,0),"")</f>
        <v>0</v>
      </c>
      <c r="F46" s="99">
        <f t="shared" si="0"/>
        <v>15</v>
      </c>
      <c r="G46" s="100" t="str">
        <f t="shared" si="1"/>
        <v>❌</v>
      </c>
      <c r="H46" s="101">
        <f>IFERROR(VLOOKUP(A46,'📄 S1 Exam'!$A:$E,5,0),"")</f>
        <v>0</v>
      </c>
      <c r="I46" s="101" t="str">
        <f>IFERROR(VLOOKUP(A46,'📄 S1 Exam'!$A:$F,6,0),"")</f>
        <v>Not Attended</v>
      </c>
      <c r="J46" s="100" t="str">
        <f t="shared" si="2"/>
        <v>❌</v>
      </c>
      <c r="K46" s="100" t="str">
        <f t="shared" si="3"/>
        <v>❌ NOT YET</v>
      </c>
      <c r="L46" s="102">
        <f t="shared" si="4"/>
        <v>0.15</v>
      </c>
      <c r="M46" s="100" t="str">
        <f t="shared" si="5"/>
        <v>Below Pass</v>
      </c>
      <c r="N46" s="96" t="str">
        <f t="shared" si="6"/>
        <v>Score 15/100 — needs 50. Attendance incomplete.</v>
      </c>
    </row>
    <row r="47" spans="1:14" ht="18" customHeight="1">
      <c r="A47" s="95" t="s">
        <v>196</v>
      </c>
      <c r="B47" s="105">
        <f>IFERROR(VLOOKUP(A47,'👥 All Students'!$A:$C,2,0),"")</f>
        <v>0</v>
      </c>
      <c r="C47" s="105">
        <f>IFERROR(VLOOKUP(A47,'👥 All Students'!$A:$C,3,0),"")</f>
        <v>0</v>
      </c>
      <c r="D47" s="97">
        <f>IFERROR(VLOOKUP(A47,'📝 S1 Quiz'!$A:$L,12,0),"")</f>
        <v>26.7</v>
      </c>
      <c r="E47" s="98">
        <f>IFERROR(VLOOKUP(A47,'📄 S1 Exam'!$A:$D,4,0),"")</f>
        <v>34.5</v>
      </c>
      <c r="F47" s="99">
        <f t="shared" si="0"/>
        <v>61.2</v>
      </c>
      <c r="G47" s="109" t="str">
        <f t="shared" si="1"/>
        <v>✅</v>
      </c>
      <c r="H47" s="110" t="str">
        <f>IFERROR(VLOOKUP(A47,'📄 S1 Exam'!$A:$E,5,0),"")</f>
        <v>Attended</v>
      </c>
      <c r="I47" s="110" t="str">
        <f>IFERROR(VLOOKUP(A47,'📄 S1 Exam'!$A:$F,6,0),"")</f>
        <v>Not Attended</v>
      </c>
      <c r="J47" s="109" t="str">
        <f t="shared" si="2"/>
        <v>❌</v>
      </c>
      <c r="K47" s="109" t="str">
        <f t="shared" si="3"/>
        <v>❌ NOT YET</v>
      </c>
      <c r="L47" s="111">
        <f t="shared" si="4"/>
        <v>0.61199999999999999</v>
      </c>
      <c r="M47" s="109" t="str">
        <f t="shared" si="5"/>
        <v>Pass</v>
      </c>
      <c r="N47" s="105" t="str">
        <f t="shared" si="6"/>
        <v>Attendance incomplete.</v>
      </c>
    </row>
    <row r="48" spans="1:14" ht="18" customHeight="1">
      <c r="A48" s="95" t="s">
        <v>198</v>
      </c>
      <c r="B48" s="96">
        <f>IFERROR(VLOOKUP(A48,'👥 All Students'!$A:$C,2,0),"")</f>
        <v>0</v>
      </c>
      <c r="C48" s="96">
        <f>IFERROR(VLOOKUP(A48,'👥 All Students'!$A:$C,3,0),"")</f>
        <v>0</v>
      </c>
      <c r="D48" s="97">
        <f>IFERROR(VLOOKUP(A48,'📝 S1 Quiz'!$A:$L,12,0),"")</f>
        <v>28</v>
      </c>
      <c r="E48" s="98">
        <f>IFERROR(VLOOKUP(A48,'📄 S1 Exam'!$A:$D,4,0),"")</f>
        <v>43</v>
      </c>
      <c r="F48" s="99">
        <f t="shared" si="0"/>
        <v>71</v>
      </c>
      <c r="G48" s="100" t="str">
        <f t="shared" si="1"/>
        <v>✅</v>
      </c>
      <c r="H48" s="101" t="str">
        <f>IFERROR(VLOOKUP(A48,'📄 S1 Exam'!$A:$E,5,0),"")</f>
        <v>Attended</v>
      </c>
      <c r="I48" s="101" t="str">
        <f>IFERROR(VLOOKUP(A48,'📄 S1 Exam'!$A:$F,6,0),"")</f>
        <v>Not Attended</v>
      </c>
      <c r="J48" s="100" t="str">
        <f t="shared" si="2"/>
        <v>❌</v>
      </c>
      <c r="K48" s="100" t="str">
        <f t="shared" si="3"/>
        <v>❌ NOT YET</v>
      </c>
      <c r="L48" s="102">
        <f t="shared" si="4"/>
        <v>0.71</v>
      </c>
      <c r="M48" s="100" t="str">
        <f t="shared" si="5"/>
        <v>Pass</v>
      </c>
      <c r="N48" s="96" t="str">
        <f t="shared" si="6"/>
        <v>Attendance incomplete.</v>
      </c>
    </row>
    <row r="49" spans="1:14" ht="18" customHeight="1">
      <c r="A49" s="95" t="s">
        <v>201</v>
      </c>
      <c r="B49" s="105">
        <f>IFERROR(VLOOKUP(A49,'👥 All Students'!$A:$C,2,0),"")</f>
        <v>0</v>
      </c>
      <c r="C49" s="105">
        <f>IFERROR(VLOOKUP(A49,'👥 All Students'!$A:$C,3,0),"")</f>
        <v>0</v>
      </c>
      <c r="D49" s="97">
        <f>IFERROR(VLOOKUP(A49,'📝 S1 Quiz'!$A:$L,12,0),"")</f>
        <v>30.5</v>
      </c>
      <c r="E49" s="98">
        <f>IFERROR(VLOOKUP(A49,'📄 S1 Exam'!$A:$D,4,0),"")</f>
        <v>40</v>
      </c>
      <c r="F49" s="99">
        <f t="shared" si="0"/>
        <v>70.5</v>
      </c>
      <c r="G49" s="109" t="str">
        <f t="shared" si="1"/>
        <v>✅</v>
      </c>
      <c r="H49" s="110" t="str">
        <f>IFERROR(VLOOKUP(A49,'📄 S1 Exam'!$A:$E,5,0),"")</f>
        <v>Attended</v>
      </c>
      <c r="I49" s="110" t="str">
        <f>IFERROR(VLOOKUP(A49,'📄 S1 Exam'!$A:$F,6,0),"")</f>
        <v>Not Attended</v>
      </c>
      <c r="J49" s="109" t="str">
        <f t="shared" si="2"/>
        <v>❌</v>
      </c>
      <c r="K49" s="109" t="str">
        <f t="shared" si="3"/>
        <v>❌ NOT YET</v>
      </c>
      <c r="L49" s="111">
        <f t="shared" si="4"/>
        <v>0.70499999999999996</v>
      </c>
      <c r="M49" s="109" t="str">
        <f t="shared" si="5"/>
        <v>Pass</v>
      </c>
      <c r="N49" s="105" t="str">
        <f t="shared" si="6"/>
        <v>Attendance incomplete.</v>
      </c>
    </row>
    <row r="50" spans="1:14" ht="18" customHeight="1">
      <c r="A50" s="95" t="s">
        <v>202</v>
      </c>
      <c r="B50" s="96">
        <f>IFERROR(VLOOKUP(A50,'👥 All Students'!$A:$C,2,0),"")</f>
        <v>0</v>
      </c>
      <c r="C50" s="96">
        <f>IFERROR(VLOOKUP(A50,'👥 All Students'!$A:$C,3,0),"")</f>
        <v>0</v>
      </c>
      <c r="D50" s="97">
        <f>IFERROR(VLOOKUP(A50,'📝 S1 Quiz'!$A:$L,12,0),"")</f>
        <v>29</v>
      </c>
      <c r="E50" s="98">
        <f>IFERROR(VLOOKUP(A50,'📄 S1 Exam'!$A:$D,4,0),"")</f>
        <v>29</v>
      </c>
      <c r="F50" s="99">
        <f t="shared" si="0"/>
        <v>58</v>
      </c>
      <c r="G50" s="100" t="str">
        <f t="shared" si="1"/>
        <v>✅</v>
      </c>
      <c r="H50" s="101">
        <f>IFERROR(VLOOKUP(A50,'📄 S1 Exam'!$A:$E,5,0),"")</f>
        <v>0</v>
      </c>
      <c r="I50" s="101" t="str">
        <f>IFERROR(VLOOKUP(A50,'📄 S1 Exam'!$A:$F,6,0),"")</f>
        <v>Not Attended</v>
      </c>
      <c r="J50" s="100" t="str">
        <f t="shared" si="2"/>
        <v>❌</v>
      </c>
      <c r="K50" s="100" t="str">
        <f t="shared" si="3"/>
        <v>❌ NOT YET</v>
      </c>
      <c r="L50" s="102">
        <f t="shared" si="4"/>
        <v>0.57999999999999996</v>
      </c>
      <c r="M50" s="100" t="str">
        <f t="shared" si="5"/>
        <v>Pass</v>
      </c>
      <c r="N50" s="96" t="str">
        <f t="shared" si="6"/>
        <v>Attendance incomplete.</v>
      </c>
    </row>
    <row r="51" spans="1:14" ht="18" customHeight="1">
      <c r="A51" s="95" t="s">
        <v>203</v>
      </c>
      <c r="B51" s="105">
        <f>IFERROR(VLOOKUP(A51,'👥 All Students'!$A:$C,2,0),"")</f>
        <v>0</v>
      </c>
      <c r="C51" s="105">
        <f>IFERROR(VLOOKUP(A51,'👥 All Students'!$A:$C,3,0),"")</f>
        <v>0</v>
      </c>
      <c r="D51" s="97">
        <f>IFERROR(VLOOKUP(A51,'📝 S1 Quiz'!$A:$L,12,0),"")</f>
        <v>36.5</v>
      </c>
      <c r="E51" s="98">
        <f>IFERROR(VLOOKUP(A51,'📄 S1 Exam'!$A:$D,4,0),"")</f>
        <v>45</v>
      </c>
      <c r="F51" s="99">
        <f t="shared" si="0"/>
        <v>81.5</v>
      </c>
      <c r="G51" s="109" t="str">
        <f t="shared" si="1"/>
        <v>✅</v>
      </c>
      <c r="H51" s="110" t="str">
        <f>IFERROR(VLOOKUP(A51,'📄 S1 Exam'!$A:$E,5,0),"")</f>
        <v>Attended</v>
      </c>
      <c r="I51" s="110" t="str">
        <f>IFERROR(VLOOKUP(A51,'📄 S1 Exam'!$A:$F,6,0),"")</f>
        <v>Not Attended</v>
      </c>
      <c r="J51" s="109" t="str">
        <f t="shared" si="2"/>
        <v>❌</v>
      </c>
      <c r="K51" s="109" t="str">
        <f t="shared" si="3"/>
        <v>❌ NOT YET</v>
      </c>
      <c r="L51" s="111">
        <f t="shared" si="4"/>
        <v>0.81499999999999995</v>
      </c>
      <c r="M51" s="109" t="str">
        <f t="shared" si="5"/>
        <v>Merit</v>
      </c>
      <c r="N51" s="105" t="str">
        <f t="shared" si="6"/>
        <v>Attendance incomplete.</v>
      </c>
    </row>
    <row r="52" spans="1:14" ht="18" customHeight="1">
      <c r="A52" s="95" t="s">
        <v>204</v>
      </c>
      <c r="B52" s="96">
        <f>IFERROR(VLOOKUP(A52,'👥 All Students'!$A:$C,2,0),"")</f>
        <v>0</v>
      </c>
      <c r="C52" s="96">
        <f>IFERROR(VLOOKUP(A52,'👥 All Students'!$A:$C,3,0),"")</f>
        <v>0</v>
      </c>
      <c r="D52" s="97">
        <f>IFERROR(VLOOKUP(A52,'📝 S1 Quiz'!$A:$L,12,0),"")</f>
        <v>34</v>
      </c>
      <c r="E52" s="98">
        <f>IFERROR(VLOOKUP(A52,'📄 S1 Exam'!$A:$D,4,0),"")</f>
        <v>36.5</v>
      </c>
      <c r="F52" s="99">
        <f t="shared" si="0"/>
        <v>70.5</v>
      </c>
      <c r="G52" s="100" t="str">
        <f t="shared" si="1"/>
        <v>✅</v>
      </c>
      <c r="H52" s="101" t="str">
        <f>IFERROR(VLOOKUP(A52,'📄 S1 Exam'!$A:$E,5,0),"")</f>
        <v>Attended</v>
      </c>
      <c r="I52" s="101" t="str">
        <f>IFERROR(VLOOKUP(A52,'📄 S1 Exam'!$A:$F,6,0),"")</f>
        <v>Not Attended</v>
      </c>
      <c r="J52" s="100" t="str">
        <f t="shared" si="2"/>
        <v>❌</v>
      </c>
      <c r="K52" s="100" t="str">
        <f t="shared" si="3"/>
        <v>❌ NOT YET</v>
      </c>
      <c r="L52" s="102">
        <f t="shared" si="4"/>
        <v>0.70499999999999996</v>
      </c>
      <c r="M52" s="100" t="str">
        <f t="shared" si="5"/>
        <v>Pass</v>
      </c>
      <c r="N52" s="96" t="str">
        <f t="shared" si="6"/>
        <v>Attendance incomplete.</v>
      </c>
    </row>
    <row r="53" spans="1:14" ht="18" customHeight="1">
      <c r="A53" s="95" t="s">
        <v>205</v>
      </c>
      <c r="B53" s="105">
        <f>IFERROR(VLOOKUP(A53,'👥 All Students'!$A:$C,2,0),"")</f>
        <v>0</v>
      </c>
      <c r="C53" s="105">
        <f>IFERROR(VLOOKUP(A53,'👥 All Students'!$A:$C,3,0),"")</f>
        <v>0</v>
      </c>
      <c r="D53" s="97">
        <f>IFERROR(VLOOKUP(A53,'📝 S1 Quiz'!$A:$L,12,0),"")</f>
        <v>18</v>
      </c>
      <c r="E53" s="98">
        <f>IFERROR(VLOOKUP(A53,'📄 S1 Exam'!$A:$D,4,0),"")</f>
        <v>0</v>
      </c>
      <c r="F53" s="99">
        <f t="shared" si="0"/>
        <v>18</v>
      </c>
      <c r="G53" s="109" t="str">
        <f t="shared" si="1"/>
        <v>❌</v>
      </c>
      <c r="H53" s="110">
        <f>IFERROR(VLOOKUP(A53,'📄 S1 Exam'!$A:$E,5,0),"")</f>
        <v>0</v>
      </c>
      <c r="I53" s="110">
        <f>IFERROR(VLOOKUP(A53,'📄 S1 Exam'!$A:$F,6,0),"")</f>
        <v>0</v>
      </c>
      <c r="J53" s="109" t="str">
        <f t="shared" si="2"/>
        <v>❌</v>
      </c>
      <c r="K53" s="109" t="str">
        <f t="shared" si="3"/>
        <v>❌ NOT YET</v>
      </c>
      <c r="L53" s="111">
        <f t="shared" si="4"/>
        <v>0.18</v>
      </c>
      <c r="M53" s="109" t="str">
        <f t="shared" si="5"/>
        <v>Below Pass</v>
      </c>
      <c r="N53" s="105" t="str">
        <f t="shared" si="6"/>
        <v>Score 18/100 — needs 50. Attendance incomplete.</v>
      </c>
    </row>
    <row r="54" spans="1:14" ht="18" customHeight="1">
      <c r="A54" s="95" t="s">
        <v>206</v>
      </c>
      <c r="B54" s="96">
        <f>IFERROR(VLOOKUP(A54,'👥 All Students'!$A:$C,2,0),"")</f>
        <v>0</v>
      </c>
      <c r="C54" s="96">
        <f>IFERROR(VLOOKUP(A54,'👥 All Students'!$A:$C,3,0),"")</f>
        <v>0</v>
      </c>
      <c r="D54" s="97">
        <f>IFERROR(VLOOKUP(A54,'📝 S1 Quiz'!$A:$L,12,0),"")</f>
        <v>30</v>
      </c>
      <c r="E54" s="98">
        <f>IFERROR(VLOOKUP(A54,'📄 S1 Exam'!$A:$D,4,0),"")</f>
        <v>40.5</v>
      </c>
      <c r="F54" s="99">
        <f t="shared" si="0"/>
        <v>70.5</v>
      </c>
      <c r="G54" s="100" t="str">
        <f t="shared" si="1"/>
        <v>✅</v>
      </c>
      <c r="H54" s="101" t="str">
        <f>IFERROR(VLOOKUP(A54,'📄 S1 Exam'!$A:$E,5,0),"")</f>
        <v>Attended</v>
      </c>
      <c r="I54" s="101" t="str">
        <f>IFERROR(VLOOKUP(A54,'📄 S1 Exam'!$A:$F,6,0),"")</f>
        <v>Not Attended</v>
      </c>
      <c r="J54" s="100" t="str">
        <f t="shared" si="2"/>
        <v>❌</v>
      </c>
      <c r="K54" s="100" t="str">
        <f t="shared" si="3"/>
        <v>❌ NOT YET</v>
      </c>
      <c r="L54" s="102">
        <f t="shared" si="4"/>
        <v>0.70499999999999996</v>
      </c>
      <c r="M54" s="100" t="str">
        <f t="shared" si="5"/>
        <v>Pass</v>
      </c>
      <c r="N54" s="96" t="str">
        <f t="shared" si="6"/>
        <v>Attendance incomplete.</v>
      </c>
    </row>
    <row r="55" spans="1:14" ht="18" customHeight="1">
      <c r="A55" s="95" t="s">
        <v>207</v>
      </c>
      <c r="B55" s="105">
        <f>IFERROR(VLOOKUP(A55,'👥 All Students'!$A:$C,2,0),"")</f>
        <v>0</v>
      </c>
      <c r="C55" s="105">
        <f>IFERROR(VLOOKUP(A55,'👥 All Students'!$A:$C,3,0),"")</f>
        <v>0</v>
      </c>
      <c r="D55" s="97">
        <f>IFERROR(VLOOKUP(A55,'📝 S1 Quiz'!$A:$L,12,0),"")</f>
        <v>33.5</v>
      </c>
      <c r="E55" s="98">
        <f>IFERROR(VLOOKUP(A55,'📄 S1 Exam'!$A:$D,4,0),"")</f>
        <v>45</v>
      </c>
      <c r="F55" s="99">
        <f t="shared" si="0"/>
        <v>78.5</v>
      </c>
      <c r="G55" s="109" t="str">
        <f t="shared" si="1"/>
        <v>✅</v>
      </c>
      <c r="H55" s="110" t="str">
        <f>IFERROR(VLOOKUP(A55,'📄 S1 Exam'!$A:$E,5,0),"")</f>
        <v>Attended</v>
      </c>
      <c r="I55" s="110" t="str">
        <f>IFERROR(VLOOKUP(A55,'📄 S1 Exam'!$A:$F,6,0),"")</f>
        <v>Not Attended</v>
      </c>
      <c r="J55" s="109" t="str">
        <f t="shared" si="2"/>
        <v>❌</v>
      </c>
      <c r="K55" s="109" t="str">
        <f t="shared" si="3"/>
        <v>❌ NOT YET</v>
      </c>
      <c r="L55" s="111">
        <f t="shared" si="4"/>
        <v>0.78500000000000003</v>
      </c>
      <c r="M55" s="109" t="str">
        <f t="shared" si="5"/>
        <v>Merit</v>
      </c>
      <c r="N55" s="105" t="str">
        <f t="shared" si="6"/>
        <v>Attendance incomplete.</v>
      </c>
    </row>
    <row r="56" spans="1:14" ht="18" customHeight="1">
      <c r="A56" s="95" t="s">
        <v>209</v>
      </c>
      <c r="B56" s="96">
        <f>IFERROR(VLOOKUP(A56,'👥 All Students'!$A:$C,2,0),"")</f>
        <v>0</v>
      </c>
      <c r="C56" s="96">
        <f>IFERROR(VLOOKUP(A56,'👥 All Students'!$A:$C,3,0),"")</f>
        <v>0</v>
      </c>
      <c r="D56" s="97">
        <f>IFERROR(VLOOKUP(A56,'📝 S1 Quiz'!$A:$L,12,0),"")</f>
        <v>33</v>
      </c>
      <c r="E56" s="98">
        <f>IFERROR(VLOOKUP(A56,'📄 S1 Exam'!$A:$D,4,0),"")</f>
        <v>45</v>
      </c>
      <c r="F56" s="99">
        <f t="shared" si="0"/>
        <v>78</v>
      </c>
      <c r="G56" s="100" t="str">
        <f t="shared" si="1"/>
        <v>✅</v>
      </c>
      <c r="H56" s="101" t="str">
        <f>IFERROR(VLOOKUP(A56,'📄 S1 Exam'!$A:$E,5,0),"")</f>
        <v>Attended</v>
      </c>
      <c r="I56" s="101" t="str">
        <f>IFERROR(VLOOKUP(A56,'📄 S1 Exam'!$A:$F,6,0),"")</f>
        <v>Not Attended</v>
      </c>
      <c r="J56" s="100" t="str">
        <f t="shared" si="2"/>
        <v>❌</v>
      </c>
      <c r="K56" s="100" t="str">
        <f t="shared" si="3"/>
        <v>❌ NOT YET</v>
      </c>
      <c r="L56" s="102">
        <f t="shared" si="4"/>
        <v>0.78</v>
      </c>
      <c r="M56" s="100" t="str">
        <f t="shared" si="5"/>
        <v>Merit</v>
      </c>
      <c r="N56" s="96" t="str">
        <f t="shared" si="6"/>
        <v>Attendance incomplete.</v>
      </c>
    </row>
    <row r="57" spans="1:14" ht="18" customHeight="1">
      <c r="A57" s="95" t="s">
        <v>242</v>
      </c>
      <c r="B57" s="105" t="str">
        <f>IFERROR(VLOOKUP(A57,'👥 All Students'!$A:$C,2,0),"")</f>
        <v/>
      </c>
      <c r="C57" s="105" t="str">
        <f>IFERROR(VLOOKUP(A57,'👥 All Students'!$A:$C,3,0),"")</f>
        <v/>
      </c>
      <c r="D57" s="97" t="str">
        <f>IFERROR(VLOOKUP(A57,'📝 S1 Quiz'!$A:$L,12,0),"")</f>
        <v/>
      </c>
      <c r="E57" s="98">
        <f>IFERROR(VLOOKUP(A57,'📄 S1 Exam'!$A:$D,4,0),"")</f>
        <v>0</v>
      </c>
      <c r="F57" s="99" t="str">
        <f t="shared" si="0"/>
        <v>—</v>
      </c>
      <c r="G57" s="109" t="str">
        <f t="shared" si="1"/>
        <v>—</v>
      </c>
      <c r="H57" s="110">
        <f>IFERROR(VLOOKUP(A57,'📄 S1 Exam'!$A:$E,5,0),"")</f>
        <v>0</v>
      </c>
      <c r="I57" s="110">
        <f>IFERROR(VLOOKUP(A57,'📄 S1 Exam'!$A:$F,6,0),"")</f>
        <v>0</v>
      </c>
      <c r="J57" s="109" t="str">
        <f t="shared" si="2"/>
        <v>❌</v>
      </c>
      <c r="K57" s="109" t="str">
        <f t="shared" si="3"/>
        <v>⏳ PENDING</v>
      </c>
      <c r="L57" s="111" t="str">
        <f t="shared" si="4"/>
        <v/>
      </c>
      <c r="M57" s="109" t="str">
        <f t="shared" si="5"/>
        <v/>
      </c>
      <c r="N57" s="105" t="str">
        <f t="shared" si="6"/>
        <v>Awaiting data</v>
      </c>
    </row>
    <row r="58" spans="1:14" ht="18" customHeight="1">
      <c r="A58" s="95" t="s">
        <v>210</v>
      </c>
      <c r="B58" s="96">
        <f>IFERROR(VLOOKUP(A58,'👥 All Students'!$A:$C,2,0),"")</f>
        <v>0</v>
      </c>
      <c r="C58" s="96">
        <f>IFERROR(VLOOKUP(A58,'👥 All Students'!$A:$C,3,0),"")</f>
        <v>0</v>
      </c>
      <c r="D58" s="97">
        <f>IFERROR(VLOOKUP(A58,'📝 S1 Quiz'!$A:$L,12,0),"")</f>
        <v>30</v>
      </c>
      <c r="E58" s="98">
        <f>IFERROR(VLOOKUP(A58,'📄 S1 Exam'!$A:$D,4,0),"")</f>
        <v>37.5</v>
      </c>
      <c r="F58" s="99">
        <f t="shared" si="0"/>
        <v>67.5</v>
      </c>
      <c r="G58" s="100" t="str">
        <f t="shared" si="1"/>
        <v>✅</v>
      </c>
      <c r="H58" s="101" t="str">
        <f>IFERROR(VLOOKUP(A58,'📄 S1 Exam'!$A:$E,5,0),"")</f>
        <v>Attended</v>
      </c>
      <c r="I58" s="101" t="str">
        <f>IFERROR(VLOOKUP(A58,'📄 S1 Exam'!$A:$F,6,0),"")</f>
        <v>Not Attended</v>
      </c>
      <c r="J58" s="100" t="str">
        <f t="shared" si="2"/>
        <v>❌</v>
      </c>
      <c r="K58" s="100" t="str">
        <f t="shared" si="3"/>
        <v>❌ NOT YET</v>
      </c>
      <c r="L58" s="102">
        <f t="shared" si="4"/>
        <v>0.67500000000000004</v>
      </c>
      <c r="M58" s="100" t="str">
        <f t="shared" si="5"/>
        <v>Pass</v>
      </c>
      <c r="N58" s="96" t="str">
        <f t="shared" si="6"/>
        <v>Attendance incomplete.</v>
      </c>
    </row>
    <row r="59" spans="1:14" ht="18" customHeight="1">
      <c r="A59" s="95" t="s">
        <v>211</v>
      </c>
      <c r="B59" s="105">
        <f>IFERROR(VLOOKUP(A59,'👥 All Students'!$A:$C,2,0),"")</f>
        <v>0</v>
      </c>
      <c r="C59" s="105">
        <f>IFERROR(VLOOKUP(A59,'👥 All Students'!$A:$C,3,0),"")</f>
        <v>0</v>
      </c>
      <c r="D59" s="97">
        <f>IFERROR(VLOOKUP(A59,'📝 S1 Quiz'!$A:$L,12,0),"")</f>
        <v>6</v>
      </c>
      <c r="E59" s="98">
        <f>IFERROR(VLOOKUP(A59,'📄 S1 Exam'!$A:$D,4,0),"")</f>
        <v>0</v>
      </c>
      <c r="F59" s="99">
        <f t="shared" si="0"/>
        <v>6</v>
      </c>
      <c r="G59" s="109" t="str">
        <f t="shared" si="1"/>
        <v>❌</v>
      </c>
      <c r="H59" s="110" t="str">
        <f>IFERROR(VLOOKUP(A59,'📄 S1 Exam'!$A:$E,5,0),"")</f>
        <v>Attended</v>
      </c>
      <c r="I59" s="110" t="str">
        <f>IFERROR(VLOOKUP(A59,'📄 S1 Exam'!$A:$F,6,0),"")</f>
        <v>Not Attended</v>
      </c>
      <c r="J59" s="109" t="str">
        <f t="shared" si="2"/>
        <v>❌</v>
      </c>
      <c r="K59" s="109" t="str">
        <f t="shared" si="3"/>
        <v>❌ NOT YET</v>
      </c>
      <c r="L59" s="111">
        <f t="shared" si="4"/>
        <v>0.06</v>
      </c>
      <c r="M59" s="109" t="str">
        <f t="shared" si="5"/>
        <v>Below Pass</v>
      </c>
      <c r="N59" s="105" t="str">
        <f t="shared" si="6"/>
        <v>Score 6/100 — needs 50. Attendance incomplete.</v>
      </c>
    </row>
    <row r="60" spans="1:14" ht="18" customHeight="1">
      <c r="A60" s="95" t="s">
        <v>212</v>
      </c>
      <c r="B60" s="96">
        <f>IFERROR(VLOOKUP(A60,'👥 All Students'!$A:$C,2,0),"")</f>
        <v>0</v>
      </c>
      <c r="C60" s="96">
        <f>IFERROR(VLOOKUP(A60,'👥 All Students'!$A:$C,3,0),"")</f>
        <v>0</v>
      </c>
      <c r="D60" s="97">
        <f>IFERROR(VLOOKUP(A60,'📝 S1 Quiz'!$A:$L,12,0),"")</f>
        <v>29.5</v>
      </c>
      <c r="E60" s="98">
        <f>IFERROR(VLOOKUP(A60,'📄 S1 Exam'!$A:$D,4,0),"")</f>
        <v>38</v>
      </c>
      <c r="F60" s="99">
        <f t="shared" si="0"/>
        <v>67.5</v>
      </c>
      <c r="G60" s="100" t="str">
        <f t="shared" si="1"/>
        <v>✅</v>
      </c>
      <c r="H60" s="101" t="str">
        <f>IFERROR(VLOOKUP(A60,'📄 S1 Exam'!$A:$E,5,0),"")</f>
        <v>Attended</v>
      </c>
      <c r="I60" s="101" t="str">
        <f>IFERROR(VLOOKUP(A60,'📄 S1 Exam'!$A:$F,6,0),"")</f>
        <v>Not Attended</v>
      </c>
      <c r="J60" s="100" t="str">
        <f t="shared" si="2"/>
        <v>❌</v>
      </c>
      <c r="K60" s="100" t="str">
        <f t="shared" si="3"/>
        <v>❌ NOT YET</v>
      </c>
      <c r="L60" s="102">
        <f t="shared" si="4"/>
        <v>0.67500000000000004</v>
      </c>
      <c r="M60" s="100" t="str">
        <f t="shared" si="5"/>
        <v>Pass</v>
      </c>
      <c r="N60" s="96" t="str">
        <f t="shared" si="6"/>
        <v>Attendance incomplete.</v>
      </c>
    </row>
    <row r="61" spans="1:14" ht="18" customHeight="1">
      <c r="A61" s="95" t="s">
        <v>213</v>
      </c>
      <c r="B61" s="105">
        <f>IFERROR(VLOOKUP(A61,'👥 All Students'!$A:$C,2,0),"")</f>
        <v>0</v>
      </c>
      <c r="C61" s="105">
        <f>IFERROR(VLOOKUP(A61,'👥 All Students'!$A:$C,3,0),"")</f>
        <v>0</v>
      </c>
      <c r="D61" s="97">
        <f>IFERROR(VLOOKUP(A61,'📝 S1 Quiz'!$A:$L,12,0),"")</f>
        <v>36.5</v>
      </c>
      <c r="E61" s="98">
        <f>IFERROR(VLOOKUP(A61,'📄 S1 Exam'!$A:$D,4,0),"")</f>
        <v>49.5</v>
      </c>
      <c r="F61" s="99">
        <f t="shared" si="0"/>
        <v>86</v>
      </c>
      <c r="G61" s="109" t="str">
        <f t="shared" si="1"/>
        <v>✅</v>
      </c>
      <c r="H61" s="110" t="str">
        <f>IFERROR(VLOOKUP(A61,'📄 S1 Exam'!$A:$E,5,0),"")</f>
        <v>Attended</v>
      </c>
      <c r="I61" s="110" t="str">
        <f>IFERROR(VLOOKUP(A61,'📄 S1 Exam'!$A:$F,6,0),"")</f>
        <v>Not Attended</v>
      </c>
      <c r="J61" s="109" t="str">
        <f t="shared" si="2"/>
        <v>❌</v>
      </c>
      <c r="K61" s="109" t="str">
        <f t="shared" si="3"/>
        <v>❌ NOT YET</v>
      </c>
      <c r="L61" s="111">
        <f t="shared" si="4"/>
        <v>0.86</v>
      </c>
      <c r="M61" s="109" t="str">
        <f t="shared" si="5"/>
        <v>Merit</v>
      </c>
      <c r="N61" s="105" t="str">
        <f t="shared" si="6"/>
        <v>Attendance incomplete.</v>
      </c>
    </row>
    <row r="62" spans="1:14" ht="18" customHeight="1">
      <c r="A62" s="95" t="s">
        <v>214</v>
      </c>
      <c r="B62" s="96" t="str">
        <f>IFERROR(VLOOKUP(A62,'👥 All Students'!$A:$C,2,0),"")</f>
        <v/>
      </c>
      <c r="C62" s="96" t="str">
        <f>IFERROR(VLOOKUP(A62,'👥 All Students'!$A:$C,3,0),"")</f>
        <v/>
      </c>
      <c r="D62" s="97">
        <f>IFERROR(VLOOKUP(A62,'📝 S1 Quiz'!$A:$L,12,0),"")</f>
        <v>27.5</v>
      </c>
      <c r="E62" s="98">
        <f>IFERROR(VLOOKUP(A62,'📄 S1 Exam'!$A:$D,4,0),"")</f>
        <v>29</v>
      </c>
      <c r="F62" s="99">
        <f t="shared" si="0"/>
        <v>56.5</v>
      </c>
      <c r="G62" s="100" t="str">
        <f t="shared" si="1"/>
        <v>✅</v>
      </c>
      <c r="H62" s="101" t="str">
        <f>IFERROR(VLOOKUP(A62,'📄 S1 Exam'!$A:$E,5,0),"")</f>
        <v>Attended</v>
      </c>
      <c r="I62" s="101" t="str">
        <f>IFERROR(VLOOKUP(A62,'📄 S1 Exam'!$A:$F,6,0),"")</f>
        <v>Not Attended</v>
      </c>
      <c r="J62" s="100" t="str">
        <f t="shared" si="2"/>
        <v>❌</v>
      </c>
      <c r="K62" s="100" t="str">
        <f t="shared" si="3"/>
        <v>❌ NOT YET</v>
      </c>
      <c r="L62" s="102">
        <f t="shared" si="4"/>
        <v>0.56499999999999995</v>
      </c>
      <c r="M62" s="100" t="str">
        <f t="shared" si="5"/>
        <v>Pass</v>
      </c>
      <c r="N62" s="96" t="str">
        <f t="shared" si="6"/>
        <v>Attendance incomplete.</v>
      </c>
    </row>
    <row r="63" spans="1:14" ht="18" customHeight="1">
      <c r="A63" s="95" t="s">
        <v>215</v>
      </c>
      <c r="B63" s="105" t="str">
        <f>IFERROR(VLOOKUP(A63,'👥 All Students'!$A:$C,2,0),"")</f>
        <v/>
      </c>
      <c r="C63" s="105" t="str">
        <f>IFERROR(VLOOKUP(A63,'👥 All Students'!$A:$C,3,0),"")</f>
        <v/>
      </c>
      <c r="D63" s="97">
        <f>IFERROR(VLOOKUP(A63,'📝 S1 Quiz'!$A:$L,12,0),"")</f>
        <v>32</v>
      </c>
      <c r="E63" s="98">
        <f>IFERROR(VLOOKUP(A63,'📄 S1 Exam'!$A:$D,4,0),"")</f>
        <v>44</v>
      </c>
      <c r="F63" s="99">
        <f t="shared" si="0"/>
        <v>76</v>
      </c>
      <c r="G63" s="109" t="str">
        <f t="shared" si="1"/>
        <v>✅</v>
      </c>
      <c r="H63" s="110" t="str">
        <f>IFERROR(VLOOKUP(A63,'📄 S1 Exam'!$A:$E,5,0),"")</f>
        <v>Attended</v>
      </c>
      <c r="I63" s="110" t="str">
        <f>IFERROR(VLOOKUP(A63,'📄 S1 Exam'!$A:$F,6,0),"")</f>
        <v>Not Attended</v>
      </c>
      <c r="J63" s="109" t="str">
        <f t="shared" si="2"/>
        <v>❌</v>
      </c>
      <c r="K63" s="109" t="str">
        <f t="shared" si="3"/>
        <v>❌ NOT YET</v>
      </c>
      <c r="L63" s="111">
        <f t="shared" si="4"/>
        <v>0.76</v>
      </c>
      <c r="M63" s="109" t="str">
        <f t="shared" si="5"/>
        <v>Merit</v>
      </c>
      <c r="N63" s="105" t="str">
        <f t="shared" si="6"/>
        <v>Attendance incomplete.</v>
      </c>
    </row>
    <row r="64" spans="1:14" ht="18" customHeight="1">
      <c r="A64" s="95" t="s">
        <v>216</v>
      </c>
      <c r="B64" s="96" t="str">
        <f>IFERROR(VLOOKUP(A64,'👥 All Students'!$A:$C,2,0),"")</f>
        <v/>
      </c>
      <c r="C64" s="96" t="str">
        <f>IFERROR(VLOOKUP(A64,'👥 All Students'!$A:$C,3,0),"")</f>
        <v/>
      </c>
      <c r="D64" s="97">
        <f>IFERROR(VLOOKUP(A64,'📝 S1 Quiz'!$A:$L,12,0),"")</f>
        <v>32.5</v>
      </c>
      <c r="E64" s="98">
        <f>IFERROR(VLOOKUP(A64,'📄 S1 Exam'!$A:$D,4,0),"")</f>
        <v>38</v>
      </c>
      <c r="F64" s="99">
        <f t="shared" si="0"/>
        <v>70.5</v>
      </c>
      <c r="G64" s="100" t="str">
        <f t="shared" si="1"/>
        <v>✅</v>
      </c>
      <c r="H64" s="101" t="str">
        <f>IFERROR(VLOOKUP(A64,'📄 S1 Exam'!$A:$E,5,0),"")</f>
        <v>Attended</v>
      </c>
      <c r="I64" s="101" t="str">
        <f>IFERROR(VLOOKUP(A64,'📄 S1 Exam'!$A:$F,6,0),"")</f>
        <v>Not Attended</v>
      </c>
      <c r="J64" s="100" t="str">
        <f t="shared" si="2"/>
        <v>❌</v>
      </c>
      <c r="K64" s="100" t="str">
        <f t="shared" si="3"/>
        <v>❌ NOT YET</v>
      </c>
      <c r="L64" s="102">
        <f t="shared" si="4"/>
        <v>0.70499999999999996</v>
      </c>
      <c r="M64" s="100" t="str">
        <f t="shared" si="5"/>
        <v>Pass</v>
      </c>
      <c r="N64" s="96" t="str">
        <f t="shared" si="6"/>
        <v>Attendance incomplete.</v>
      </c>
    </row>
    <row r="65" spans="1:14" ht="18" customHeight="1">
      <c r="A65" s="95" t="s">
        <v>220</v>
      </c>
      <c r="B65" s="105" t="str">
        <f>IFERROR(VLOOKUP(A65,'👥 All Students'!$A:$C,2,0),"")</f>
        <v/>
      </c>
      <c r="C65" s="105" t="str">
        <f>IFERROR(VLOOKUP(A65,'👥 All Students'!$A:$C,3,0),"")</f>
        <v/>
      </c>
      <c r="D65" s="97">
        <f>IFERROR(VLOOKUP(A65,'📝 S1 Quiz'!$A:$L,12,0),"")</f>
        <v>32</v>
      </c>
      <c r="E65" s="98">
        <f>IFERROR(VLOOKUP(A65,'📄 S1 Exam'!$A:$D,4,0),"")</f>
        <v>46</v>
      </c>
      <c r="F65" s="99">
        <f t="shared" si="0"/>
        <v>78</v>
      </c>
      <c r="G65" s="109" t="str">
        <f t="shared" si="1"/>
        <v>✅</v>
      </c>
      <c r="H65" s="110" t="str">
        <f>IFERROR(VLOOKUP(A65,'📄 S1 Exam'!$A:$E,5,0),"")</f>
        <v>Attended</v>
      </c>
      <c r="I65" s="110" t="str">
        <f>IFERROR(VLOOKUP(A65,'📄 S1 Exam'!$A:$F,6,0),"")</f>
        <v>Not Attended</v>
      </c>
      <c r="J65" s="109" t="str">
        <f t="shared" si="2"/>
        <v>❌</v>
      </c>
      <c r="K65" s="109" t="str">
        <f t="shared" si="3"/>
        <v>❌ NOT YET</v>
      </c>
      <c r="L65" s="111">
        <f t="shared" si="4"/>
        <v>0.78</v>
      </c>
      <c r="M65" s="109" t="str">
        <f t="shared" si="5"/>
        <v>Merit</v>
      </c>
      <c r="N65" s="105" t="str">
        <f t="shared" si="6"/>
        <v>Attendance incomplete.</v>
      </c>
    </row>
    <row r="66" spans="1:14" ht="18" customHeight="1">
      <c r="A66" s="95" t="s">
        <v>226</v>
      </c>
      <c r="B66" s="96" t="str">
        <f>IFERROR(VLOOKUP(A66,'👥 All Students'!$A:$C,2,0),"")</f>
        <v/>
      </c>
      <c r="C66" s="96" t="str">
        <f>IFERROR(VLOOKUP(A66,'👥 All Students'!$A:$C,3,0),"")</f>
        <v/>
      </c>
      <c r="D66" s="97">
        <f>IFERROR(VLOOKUP(A66,'📝 S1 Quiz'!$A:$L,12,0),"")</f>
        <v>36</v>
      </c>
      <c r="E66" s="98">
        <f>IFERROR(VLOOKUP(A66,'📄 S1 Exam'!$A:$D,4,0),"")</f>
        <v>43</v>
      </c>
      <c r="F66" s="99">
        <f t="shared" si="0"/>
        <v>79</v>
      </c>
      <c r="G66" s="100" t="str">
        <f t="shared" si="1"/>
        <v>✅</v>
      </c>
      <c r="H66" s="101" t="str">
        <f>IFERROR(VLOOKUP(A66,'📄 S1 Exam'!$A:$E,5,0),"")</f>
        <v>Attended</v>
      </c>
      <c r="I66" s="101" t="str">
        <f>IFERROR(VLOOKUP(A66,'📄 S1 Exam'!$A:$F,6,0),"")</f>
        <v>Not Attended</v>
      </c>
      <c r="J66" s="100" t="str">
        <f t="shared" si="2"/>
        <v>❌</v>
      </c>
      <c r="K66" s="100" t="str">
        <f t="shared" si="3"/>
        <v>❌ NOT YET</v>
      </c>
      <c r="L66" s="102">
        <f t="shared" si="4"/>
        <v>0.79</v>
      </c>
      <c r="M66" s="100" t="str">
        <f t="shared" si="5"/>
        <v>Merit</v>
      </c>
      <c r="N66" s="96" t="str">
        <f t="shared" si="6"/>
        <v>Attendance incomplete.</v>
      </c>
    </row>
    <row r="67" spans="1:14" ht="18" customHeight="1">
      <c r="A67" s="95" t="s">
        <v>229</v>
      </c>
      <c r="B67" s="105" t="str">
        <f>IFERROR(VLOOKUP(A67,'👥 All Students'!$A:$C,2,0),"")</f>
        <v/>
      </c>
      <c r="C67" s="105" t="str">
        <f>IFERROR(VLOOKUP(A67,'👥 All Students'!$A:$C,3,0),"")</f>
        <v/>
      </c>
      <c r="D67" s="97">
        <f>IFERROR(VLOOKUP(A67,'📝 S1 Quiz'!$A:$L,12,0),"")</f>
        <v>30</v>
      </c>
      <c r="E67" s="98">
        <f>IFERROR(VLOOKUP(A67,'📄 S1 Exam'!$A:$D,4,0),"")</f>
        <v>39.5</v>
      </c>
      <c r="F67" s="99">
        <f t="shared" si="0"/>
        <v>69.5</v>
      </c>
      <c r="G67" s="109" t="str">
        <f t="shared" si="1"/>
        <v>✅</v>
      </c>
      <c r="H67" s="110" t="str">
        <f>IFERROR(VLOOKUP(A67,'📄 S1 Exam'!$A:$E,5,0),"")</f>
        <v>Attended</v>
      </c>
      <c r="I67" s="110" t="str">
        <f>IFERROR(VLOOKUP(A67,'📄 S1 Exam'!$A:$F,6,0),"")</f>
        <v>Not Attended</v>
      </c>
      <c r="J67" s="109" t="str">
        <f t="shared" si="2"/>
        <v>❌</v>
      </c>
      <c r="K67" s="109" t="str">
        <f t="shared" si="3"/>
        <v>❌ NOT YET</v>
      </c>
      <c r="L67" s="111">
        <f t="shared" si="4"/>
        <v>0.69499999999999995</v>
      </c>
      <c r="M67" s="109" t="str">
        <f t="shared" si="5"/>
        <v>Pass</v>
      </c>
      <c r="N67" s="105" t="str">
        <f t="shared" si="6"/>
        <v>Attendance incomplete.</v>
      </c>
    </row>
    <row r="68" spans="1:14" ht="18" customHeight="1">
      <c r="A68" s="95" t="s">
        <v>230</v>
      </c>
      <c r="B68" s="96" t="str">
        <f>IFERROR(VLOOKUP(A68,'👥 All Students'!$A:$C,2,0),"")</f>
        <v/>
      </c>
      <c r="C68" s="96" t="str">
        <f>IFERROR(VLOOKUP(A68,'👥 All Students'!$A:$C,3,0),"")</f>
        <v/>
      </c>
      <c r="D68" s="97">
        <f>IFERROR(VLOOKUP(A68,'📝 S1 Quiz'!$A:$L,12,0),"")</f>
        <v>32</v>
      </c>
      <c r="E68" s="98">
        <f>IFERROR(VLOOKUP(A68,'📄 S1 Exam'!$A:$D,4,0),"")</f>
        <v>0</v>
      </c>
      <c r="F68" s="99">
        <f t="shared" si="0"/>
        <v>32</v>
      </c>
      <c r="G68" s="100" t="str">
        <f t="shared" si="1"/>
        <v>❌</v>
      </c>
      <c r="H68" s="101" t="str">
        <f>IFERROR(VLOOKUP(A68,'📄 S1 Exam'!$A:$E,5,0),"")</f>
        <v>Attended</v>
      </c>
      <c r="I68" s="101" t="str">
        <f>IFERROR(VLOOKUP(A68,'📄 S1 Exam'!$A:$F,6,0),"")</f>
        <v>Not Attended</v>
      </c>
      <c r="J68" s="100" t="str">
        <f t="shared" si="2"/>
        <v>❌</v>
      </c>
      <c r="K68" s="100" t="str">
        <f t="shared" si="3"/>
        <v>❌ NOT YET</v>
      </c>
      <c r="L68" s="102">
        <f t="shared" si="4"/>
        <v>0.32</v>
      </c>
      <c r="M68" s="100" t="str">
        <f t="shared" si="5"/>
        <v>Below Pass</v>
      </c>
      <c r="N68" s="96" t="str">
        <f t="shared" si="6"/>
        <v>Score 32/100 — needs 50. Attendance incomplete.</v>
      </c>
    </row>
    <row r="69" spans="1:14" ht="18" customHeight="1">
      <c r="A69" s="95" t="s">
        <v>252</v>
      </c>
      <c r="B69" s="105" t="str">
        <f>IFERROR(VLOOKUP(A69,'👥 All Students'!$A:$C,2,0),"")</f>
        <v/>
      </c>
      <c r="C69" s="105" t="str">
        <f>IFERROR(VLOOKUP(A69,'👥 All Students'!$A:$C,3,0),"")</f>
        <v/>
      </c>
      <c r="D69" s="97" t="str">
        <f>IFERROR(VLOOKUP(A69,'📝 S1 Quiz'!$A:$L,12,0),"")</f>
        <v/>
      </c>
      <c r="E69" s="98">
        <f>IFERROR(VLOOKUP(A69,'📄 S1 Exam'!$A:$D,4,0),"")</f>
        <v>0</v>
      </c>
      <c r="F69" s="99" t="str">
        <f t="shared" si="0"/>
        <v>—</v>
      </c>
      <c r="G69" s="109" t="str">
        <f t="shared" si="1"/>
        <v>—</v>
      </c>
      <c r="H69" s="110">
        <f>IFERROR(VLOOKUP(A69,'📄 S1 Exam'!$A:$E,5,0),"")</f>
        <v>0</v>
      </c>
      <c r="I69" s="141">
        <f>IFERROR(VLOOKUP(A69,'📄 S1 Exam'!$A:$F,6,0),"")</f>
        <v>0</v>
      </c>
      <c r="J69" s="109" t="str">
        <f t="shared" si="2"/>
        <v>❌</v>
      </c>
      <c r="K69" s="109" t="str">
        <f t="shared" si="3"/>
        <v>⏳ PENDING</v>
      </c>
      <c r="L69" s="111" t="str">
        <f t="shared" si="4"/>
        <v/>
      </c>
      <c r="M69" s="109" t="str">
        <f t="shared" si="5"/>
        <v/>
      </c>
      <c r="N69" s="105" t="str">
        <f t="shared" si="6"/>
        <v>Awaiting data</v>
      </c>
    </row>
    <row r="70" spans="1:14" ht="18" customHeight="1">
      <c r="A70" s="95" t="s">
        <v>232</v>
      </c>
      <c r="B70" s="96">
        <f>IFERROR(VLOOKUP(A70,'👥 All Students'!$A:$C,2,0),"")</f>
        <v>0</v>
      </c>
      <c r="C70" s="96">
        <f>IFERROR(VLOOKUP(A70,'👥 All Students'!$A:$C,3,0),"")</f>
        <v>0</v>
      </c>
      <c r="D70" s="97">
        <f>IFERROR(VLOOKUP(A70,'📝 S1 Quiz'!$A:$L,12,0),"")</f>
        <v>16</v>
      </c>
      <c r="E70" s="98">
        <f>IFERROR(VLOOKUP(A70,'📄 S1 Exam'!$A:$D,4,0),"")</f>
        <v>0</v>
      </c>
      <c r="F70" s="99">
        <f t="shared" si="0"/>
        <v>16</v>
      </c>
      <c r="G70" s="100" t="str">
        <f t="shared" si="1"/>
        <v>❌</v>
      </c>
      <c r="H70" s="101" t="str">
        <f>IFERROR(VLOOKUP(A70,'📄 S1 Exam'!$A:$E,5,0),"")</f>
        <v>Attended</v>
      </c>
      <c r="I70" s="142" t="str">
        <f>IFERROR(VLOOKUP(A70,'📄 S1 Exam'!$A:$F,6,0),"")</f>
        <v>Not Attended</v>
      </c>
      <c r="J70" s="100" t="str">
        <f t="shared" si="2"/>
        <v>❌</v>
      </c>
      <c r="K70" s="100" t="str">
        <f t="shared" si="3"/>
        <v>❌ NOT YET</v>
      </c>
      <c r="L70" s="102">
        <f t="shared" si="4"/>
        <v>0.16</v>
      </c>
      <c r="M70" s="100" t="str">
        <f t="shared" si="5"/>
        <v>Below Pass</v>
      </c>
      <c r="N70" s="96" t="str">
        <f t="shared" si="6"/>
        <v>Score 16/100 — needs 50. Attendance incomplete.</v>
      </c>
    </row>
    <row r="71" spans="1:14" ht="18" customHeight="1">
      <c r="A71" s="95" t="s">
        <v>254</v>
      </c>
      <c r="B71" s="105" t="str">
        <f>IFERROR(VLOOKUP(A71,'👥 All Students'!$A:$C,2,0),"")</f>
        <v/>
      </c>
      <c r="C71" s="105" t="str">
        <f>IFERROR(VLOOKUP(A71,'👥 All Students'!$A:$C,3,0),"")</f>
        <v/>
      </c>
      <c r="D71" s="97" t="str">
        <f>IFERROR(VLOOKUP(A71,'📝 S1 Quiz'!$A:$L,12,0),"")</f>
        <v/>
      </c>
      <c r="E71" s="98">
        <f>IFERROR(VLOOKUP(A71,'📄 S1 Exam'!$A:$D,4,0),"")</f>
        <v>0</v>
      </c>
      <c r="F71" s="99" t="str">
        <f t="shared" si="0"/>
        <v>—</v>
      </c>
      <c r="G71" s="109" t="str">
        <f t="shared" si="1"/>
        <v>—</v>
      </c>
      <c r="H71" s="110">
        <f>IFERROR(VLOOKUP(A71,'📄 S1 Exam'!$A:$E,5,0),"")</f>
        <v>0</v>
      </c>
      <c r="I71" s="141">
        <f>IFERROR(VLOOKUP(A71,'📄 S1 Exam'!$A:$F,6,0),"")</f>
        <v>0</v>
      </c>
      <c r="J71" s="109" t="str">
        <f t="shared" si="2"/>
        <v>❌</v>
      </c>
      <c r="K71" s="109" t="str">
        <f t="shared" si="3"/>
        <v>⏳ PENDING</v>
      </c>
      <c r="L71" s="111" t="str">
        <f t="shared" si="4"/>
        <v/>
      </c>
      <c r="M71" s="109" t="str">
        <f t="shared" si="5"/>
        <v/>
      </c>
      <c r="N71" s="105" t="str">
        <f t="shared" si="6"/>
        <v>Awaiting data</v>
      </c>
    </row>
    <row r="72" spans="1:14" ht="18" customHeight="1">
      <c r="A72" s="95" t="s">
        <v>233</v>
      </c>
      <c r="B72" s="96">
        <f>IFERROR(VLOOKUP(A72,'👥 All Students'!$A:$C,2,0),"")</f>
        <v>0</v>
      </c>
      <c r="C72" s="96">
        <f>IFERROR(VLOOKUP(A72,'👥 All Students'!$A:$C,3,0),"")</f>
        <v>0</v>
      </c>
      <c r="D72" s="97">
        <f>IFERROR(VLOOKUP(A72,'📝 S1 Quiz'!$A:$L,12,0),"")</f>
        <v>15</v>
      </c>
      <c r="E72" s="98">
        <f>IFERROR(VLOOKUP(A72,'📄 S1 Exam'!$A:$D,4,0),"")</f>
        <v>0</v>
      </c>
      <c r="F72" s="99">
        <f t="shared" si="0"/>
        <v>15</v>
      </c>
      <c r="G72" s="100" t="str">
        <f t="shared" si="1"/>
        <v>❌</v>
      </c>
      <c r="H72" s="101">
        <f>IFERROR(VLOOKUP(A72,'📄 S1 Exam'!$A:$E,5,0),"")</f>
        <v>0</v>
      </c>
      <c r="I72" s="142" t="str">
        <f>IFERROR(VLOOKUP(A72,'📄 S1 Exam'!$A:$F,6,0),"")</f>
        <v>Not Attended</v>
      </c>
      <c r="J72" s="100" t="str">
        <f t="shared" si="2"/>
        <v>❌</v>
      </c>
      <c r="K72" s="100" t="str">
        <f t="shared" si="3"/>
        <v>❌ NOT YET</v>
      </c>
      <c r="L72" s="102">
        <f t="shared" si="4"/>
        <v>0.15</v>
      </c>
      <c r="M72" s="100" t="str">
        <f t="shared" si="5"/>
        <v>Below Pass</v>
      </c>
      <c r="N72" s="96" t="str">
        <f t="shared" si="6"/>
        <v>Score 15/100 — needs 50. Attendance incomplete.</v>
      </c>
    </row>
    <row r="73" spans="1:14" ht="18" customHeight="1">
      <c r="A73" s="95" t="s">
        <v>234</v>
      </c>
      <c r="B73" s="105">
        <f>IFERROR(VLOOKUP(A73,'👥 All Students'!$A:$C,2,0),"")</f>
        <v>0</v>
      </c>
      <c r="C73" s="105">
        <f>IFERROR(VLOOKUP(A73,'👥 All Students'!$A:$C,3,0),"")</f>
        <v>0</v>
      </c>
      <c r="D73" s="97">
        <f>IFERROR(VLOOKUP(A73,'📝 S1 Quiz'!$A:$L,12,0),"")</f>
        <v>35.5</v>
      </c>
      <c r="E73" s="98">
        <f>IFERROR(VLOOKUP(A73,'📄 S1 Exam'!$A:$D,4,0),"")</f>
        <v>52.5</v>
      </c>
      <c r="F73" s="99">
        <f t="shared" si="0"/>
        <v>88</v>
      </c>
      <c r="G73" s="109" t="str">
        <f t="shared" si="1"/>
        <v>✅</v>
      </c>
      <c r="H73" s="110" t="str">
        <f>IFERROR(VLOOKUP(A73,'📄 S1 Exam'!$A:$E,5,0),"")</f>
        <v>Attended</v>
      </c>
      <c r="I73" s="141" t="str">
        <f>IFERROR(VLOOKUP(A73,'📄 S1 Exam'!$A:$F,6,0),"")</f>
        <v>Not Attended</v>
      </c>
      <c r="J73" s="109" t="str">
        <f t="shared" si="2"/>
        <v>❌</v>
      </c>
      <c r="K73" s="109" t="str">
        <f t="shared" si="3"/>
        <v>❌ NOT YET</v>
      </c>
      <c r="L73" s="111">
        <f t="shared" si="4"/>
        <v>0.88</v>
      </c>
      <c r="M73" s="109" t="str">
        <f t="shared" si="5"/>
        <v>Merit</v>
      </c>
      <c r="N73" s="105" t="str">
        <f t="shared" si="6"/>
        <v>Attendance incomplete.</v>
      </c>
    </row>
    <row r="74" spans="1:14" ht="18" customHeight="1">
      <c r="A74" s="95" t="s">
        <v>258</v>
      </c>
      <c r="B74" s="96" t="str">
        <f>IFERROR(VLOOKUP(A74,'👥 All Students'!$A:$C,2,0),"")</f>
        <v/>
      </c>
      <c r="C74" s="96" t="str">
        <f>IFERROR(VLOOKUP(A74,'👥 All Students'!$A:$C,3,0),"")</f>
        <v/>
      </c>
      <c r="D74" s="97" t="str">
        <f>IFERROR(VLOOKUP(A74,'📝 S1 Quiz'!$A:$L,12,0),"")</f>
        <v/>
      </c>
      <c r="E74" s="98">
        <f>IFERROR(VLOOKUP(A74,'📄 S1 Exam'!$A:$D,4,0),"")</f>
        <v>0</v>
      </c>
      <c r="F74" s="99" t="str">
        <f t="shared" si="0"/>
        <v>—</v>
      </c>
      <c r="G74" s="100" t="str">
        <f t="shared" si="1"/>
        <v>—</v>
      </c>
      <c r="H74" s="101">
        <f>IFERROR(VLOOKUP(A74,'📄 S1 Exam'!$A:$E,5,0),"")</f>
        <v>0</v>
      </c>
      <c r="I74" s="142">
        <f>IFERROR(VLOOKUP(A74,'📄 S1 Exam'!$A:$F,6,0),"")</f>
        <v>0</v>
      </c>
      <c r="J74" s="100" t="str">
        <f t="shared" si="2"/>
        <v>❌</v>
      </c>
      <c r="K74" s="100" t="str">
        <f t="shared" si="3"/>
        <v>⏳ PENDING</v>
      </c>
      <c r="L74" s="102" t="str">
        <f t="shared" si="4"/>
        <v/>
      </c>
      <c r="M74" s="100" t="str">
        <f t="shared" si="5"/>
        <v/>
      </c>
      <c r="N74" s="96" t="str">
        <f t="shared" si="6"/>
        <v>Awaiting data</v>
      </c>
    </row>
    <row r="75" spans="1:14" ht="18" customHeight="1">
      <c r="A75" s="95" t="s">
        <v>235</v>
      </c>
      <c r="B75" s="105">
        <f>IFERROR(VLOOKUP(A75,'👥 All Students'!$A:$C,2,0),"")</f>
        <v>0</v>
      </c>
      <c r="C75" s="105">
        <f>IFERROR(VLOOKUP(A75,'👥 All Students'!$A:$C,3,0),"")</f>
        <v>0</v>
      </c>
      <c r="D75" s="97">
        <f>IFERROR(VLOOKUP(A75,'📝 S1 Quiz'!$A:$L,12,0),"")</f>
        <v>26.5</v>
      </c>
      <c r="E75" s="98">
        <f>IFERROR(VLOOKUP(A75,'📄 S1 Exam'!$A:$D,4,0),"")</f>
        <v>27</v>
      </c>
      <c r="F75" s="99">
        <f t="shared" si="0"/>
        <v>53.5</v>
      </c>
      <c r="G75" s="109" t="str">
        <f t="shared" si="1"/>
        <v>✅</v>
      </c>
      <c r="H75" s="110" t="str">
        <f>IFERROR(VLOOKUP(A75,'📄 S1 Exam'!$A:$E,5,0),"")</f>
        <v>Attended</v>
      </c>
      <c r="I75" s="141" t="str">
        <f>IFERROR(VLOOKUP(A75,'📄 S1 Exam'!$A:$F,6,0),"")</f>
        <v>Not Attended</v>
      </c>
      <c r="J75" s="109" t="str">
        <f t="shared" si="2"/>
        <v>❌</v>
      </c>
      <c r="K75" s="109" t="str">
        <f t="shared" si="3"/>
        <v>❌ NOT YET</v>
      </c>
      <c r="L75" s="111">
        <f t="shared" si="4"/>
        <v>0.53500000000000003</v>
      </c>
      <c r="M75" s="109" t="str">
        <f t="shared" si="5"/>
        <v>Pass</v>
      </c>
      <c r="N75" s="105" t="str">
        <f t="shared" si="6"/>
        <v>Attendance incomplete.</v>
      </c>
    </row>
    <row r="76" spans="1:14" ht="18" customHeight="1">
      <c r="A76" s="95" t="s">
        <v>260</v>
      </c>
      <c r="B76" s="96" t="str">
        <f>IFERROR(VLOOKUP(A76,'👥 All Students'!$A:$C,2,0),"")</f>
        <v/>
      </c>
      <c r="C76" s="96" t="str">
        <f>IFERROR(VLOOKUP(A76,'👥 All Students'!$A:$C,3,0),"")</f>
        <v/>
      </c>
      <c r="D76" s="97" t="str">
        <f>IFERROR(VLOOKUP(A76,'📝 S1 Quiz'!$A:$L,12,0),"")</f>
        <v/>
      </c>
      <c r="E76" s="98">
        <f>IFERROR(VLOOKUP(A76,'📄 S1 Exam'!$A:$D,4,0),"")</f>
        <v>0</v>
      </c>
      <c r="F76" s="99" t="str">
        <f t="shared" si="0"/>
        <v>—</v>
      </c>
      <c r="G76" s="100" t="str">
        <f t="shared" si="1"/>
        <v>—</v>
      </c>
      <c r="H76" s="101">
        <f>IFERROR(VLOOKUP(A76,'📄 S1 Exam'!$A:$E,5,0),"")</f>
        <v>0</v>
      </c>
      <c r="I76" s="142" t="str">
        <f>IFERROR(VLOOKUP(A76,'📄 S1 Exam'!$A:$F,6,0),"")</f>
        <v>Not Attended</v>
      </c>
      <c r="J76" s="100" t="str">
        <f t="shared" si="2"/>
        <v>❌</v>
      </c>
      <c r="K76" s="100" t="str">
        <f t="shared" si="3"/>
        <v>⏳ PENDING</v>
      </c>
      <c r="L76" s="102" t="str">
        <f t="shared" si="4"/>
        <v/>
      </c>
      <c r="M76" s="100" t="str">
        <f t="shared" si="5"/>
        <v/>
      </c>
      <c r="N76" s="96" t="str">
        <f t="shared" si="6"/>
        <v>Awaiting data</v>
      </c>
    </row>
    <row r="77" spans="1:14" ht="18" customHeight="1">
      <c r="A77" s="95" t="s">
        <v>236</v>
      </c>
      <c r="B77" s="105">
        <f>IFERROR(VLOOKUP(A77,'👥 All Students'!$A:$C,2,0),"")</f>
        <v>0</v>
      </c>
      <c r="C77" s="105">
        <f>IFERROR(VLOOKUP(A77,'👥 All Students'!$A:$C,3,0),"")</f>
        <v>0</v>
      </c>
      <c r="D77" s="97">
        <f>IFERROR(VLOOKUP(A77,'📝 S1 Quiz'!$A:$L,12,0),"")</f>
        <v>30.5</v>
      </c>
      <c r="E77" s="98">
        <f>IFERROR(VLOOKUP(A77,'📄 S1 Exam'!$A:$D,4,0),"")</f>
        <v>0</v>
      </c>
      <c r="F77" s="99">
        <f t="shared" si="0"/>
        <v>30.5</v>
      </c>
      <c r="G77" s="109" t="str">
        <f t="shared" si="1"/>
        <v>❌</v>
      </c>
      <c r="H77" s="110" t="str">
        <f>IFERROR(VLOOKUP(A77,'📄 S1 Exam'!$A:$E,5,0),"")</f>
        <v>Attended</v>
      </c>
      <c r="I77" s="141" t="str">
        <f>IFERROR(VLOOKUP(A77,'📄 S1 Exam'!$A:$F,6,0),"")</f>
        <v>Not Attended</v>
      </c>
      <c r="J77" s="109" t="str">
        <f t="shared" si="2"/>
        <v>❌</v>
      </c>
      <c r="K77" s="109" t="str">
        <f t="shared" si="3"/>
        <v>❌ NOT YET</v>
      </c>
      <c r="L77" s="111">
        <f t="shared" si="4"/>
        <v>0.30499999999999999</v>
      </c>
      <c r="M77" s="109" t="str">
        <f t="shared" si="5"/>
        <v>Below Pass</v>
      </c>
      <c r="N77" s="105" t="str">
        <f t="shared" si="6"/>
        <v>Score 30.5/100 — needs 50. Attendance incomplete.</v>
      </c>
    </row>
    <row r="78" spans="1:14" ht="18" customHeight="1">
      <c r="A78" s="95" t="s">
        <v>272</v>
      </c>
      <c r="B78" s="96" t="str">
        <f>IFERROR(VLOOKUP(A78,'👥 All Students'!$A:$C,2,0),"")</f>
        <v/>
      </c>
      <c r="C78" s="96" t="str">
        <f>IFERROR(VLOOKUP(A78,'👥 All Students'!$A:$C,3,0),"")</f>
        <v/>
      </c>
      <c r="D78" s="97" t="str">
        <f>IFERROR(VLOOKUP(A78,'📝 S1 Quiz'!$A:$L,12,0),"")</f>
        <v/>
      </c>
      <c r="E78" s="98" t="str">
        <f>IFERROR(VLOOKUP(A78,'📄 S1 Exam'!$A:$D,4,0),"")</f>
        <v/>
      </c>
      <c r="F78" s="99" t="str">
        <f t="shared" si="0"/>
        <v>—</v>
      </c>
      <c r="G78" s="100" t="str">
        <f t="shared" si="1"/>
        <v>—</v>
      </c>
      <c r="H78" s="101" t="str">
        <f>IFERROR(VLOOKUP(A78,'📄 S1 Exam'!$A:$E,5,0),"")</f>
        <v/>
      </c>
      <c r="I78" s="142" t="str">
        <f>IFERROR(VLOOKUP(A78,'📄 S1 Exam'!$A:$F,6,0),"")</f>
        <v/>
      </c>
      <c r="J78" s="100" t="str">
        <f t="shared" si="2"/>
        <v>❌</v>
      </c>
      <c r="K78" s="100" t="str">
        <f t="shared" si="3"/>
        <v>⏳ PENDING</v>
      </c>
      <c r="L78" s="102" t="str">
        <f t="shared" si="4"/>
        <v/>
      </c>
      <c r="M78" s="100" t="str">
        <f t="shared" si="5"/>
        <v/>
      </c>
      <c r="N78" s="96" t="str">
        <f t="shared" si="6"/>
        <v>Awaiting data</v>
      </c>
    </row>
    <row r="79" spans="1:14" ht="18" customHeight="1">
      <c r="A79" s="138" t="s">
        <v>238</v>
      </c>
      <c r="B79" s="143">
        <f>IFERROR(VLOOKUP(A79,'👥 All Students'!$A:$C,2,0),"")</f>
        <v>0</v>
      </c>
      <c r="C79" s="143">
        <f>IFERROR(VLOOKUP(A79,'👥 All Students'!$A:$C,3,0),"")</f>
        <v>0</v>
      </c>
      <c r="D79" s="97">
        <f>IFERROR(VLOOKUP(A79,'📝 S1 Quiz'!$A:$L,12,0),"")</f>
        <v>35.5</v>
      </c>
      <c r="E79" s="98">
        <f>IFERROR(VLOOKUP(A79,'📄 S1 Exam'!$A:$D,4,0),"")</f>
        <v>48.5</v>
      </c>
      <c r="F79" s="99">
        <f t="shared" si="0"/>
        <v>84</v>
      </c>
      <c r="G79" s="109" t="str">
        <f t="shared" si="1"/>
        <v>✅</v>
      </c>
      <c r="H79" s="110" t="str">
        <f>IFERROR(VLOOKUP(A79,'📄 S1 Exam'!$A:$E,5,0),"")</f>
        <v>Attended</v>
      </c>
      <c r="I79" s="141">
        <f>IFERROR(VLOOKUP(A79,'📄 S1 Exam'!$A:$F,6,0),"")</f>
        <v>0</v>
      </c>
      <c r="J79" s="109" t="str">
        <f t="shared" si="2"/>
        <v>❌</v>
      </c>
      <c r="K79" s="109" t="str">
        <f t="shared" si="3"/>
        <v>❌ NOT YET</v>
      </c>
      <c r="L79" s="111">
        <f t="shared" si="4"/>
        <v>0.84</v>
      </c>
      <c r="M79" s="109" t="str">
        <f t="shared" si="5"/>
        <v>Merit</v>
      </c>
      <c r="N79" s="105" t="str">
        <f t="shared" si="6"/>
        <v>Attendance incomplete.</v>
      </c>
    </row>
    <row r="80" spans="1:14" ht="18" customHeight="1">
      <c r="A80" s="138" t="s">
        <v>239</v>
      </c>
      <c r="B80" s="144">
        <f>IFERROR(VLOOKUP(A80,'👥 All Students'!$A:$C,2,0),"")</f>
        <v>0</v>
      </c>
      <c r="C80" s="144">
        <f>IFERROR(VLOOKUP(A80,'👥 All Students'!$A:$C,3,0),"")</f>
        <v>0</v>
      </c>
      <c r="D80" s="97">
        <f>IFERROR(VLOOKUP(A80,'📝 S1 Quiz'!$A:$L,12,0),"")</f>
        <v>37</v>
      </c>
      <c r="E80" s="98">
        <f>IFERROR(VLOOKUP(A80,'📄 S1 Exam'!$A:$D,4,0),"")</f>
        <v>46</v>
      </c>
      <c r="F80" s="99">
        <f t="shared" si="0"/>
        <v>83</v>
      </c>
      <c r="G80" s="100" t="str">
        <f t="shared" si="1"/>
        <v>✅</v>
      </c>
      <c r="H80" s="101" t="str">
        <f>IFERROR(VLOOKUP(A80,'📄 S1 Exam'!$A:$E,5,0),"")</f>
        <v>Attended</v>
      </c>
      <c r="I80" s="142">
        <f>IFERROR(VLOOKUP(A80,'📄 S1 Exam'!$A:$F,6,0),"")</f>
        <v>0</v>
      </c>
      <c r="J80" s="100" t="str">
        <f t="shared" si="2"/>
        <v>❌</v>
      </c>
      <c r="K80" s="100" t="str">
        <f t="shared" si="3"/>
        <v>❌ NOT YET</v>
      </c>
      <c r="L80" s="102">
        <f t="shared" si="4"/>
        <v>0.83</v>
      </c>
      <c r="M80" s="100" t="str">
        <f t="shared" si="5"/>
        <v>Merit</v>
      </c>
      <c r="N80" s="96" t="str">
        <f t="shared" si="6"/>
        <v>Attendance incomplete.</v>
      </c>
    </row>
    <row r="81" spans="1:14" ht="18" customHeight="1">
      <c r="A81" s="138" t="s">
        <v>240</v>
      </c>
      <c r="B81" s="143">
        <f>IFERROR(VLOOKUP(A81,'👥 All Students'!$A:$C,2,0),"")</f>
        <v>0</v>
      </c>
      <c r="C81" s="143">
        <f>IFERROR(VLOOKUP(A81,'👥 All Students'!$A:$C,3,0),"")</f>
        <v>0</v>
      </c>
      <c r="D81" s="97">
        <f>IFERROR(VLOOKUP(A81,'📝 S1 Quiz'!$A:$L,12,0),"")</f>
        <v>9</v>
      </c>
      <c r="E81" s="98">
        <f>IFERROR(VLOOKUP(A81,'📄 S1 Exam'!$A:$D,4,0),"")</f>
        <v>0</v>
      </c>
      <c r="F81" s="99">
        <f t="shared" si="0"/>
        <v>9</v>
      </c>
      <c r="G81" s="109" t="str">
        <f t="shared" si="1"/>
        <v>❌</v>
      </c>
      <c r="H81" s="141">
        <f>IFERROR(VLOOKUP(A81,'📄 S1 Exam'!$A:$E,5,0),"")</f>
        <v>0</v>
      </c>
      <c r="I81" s="141">
        <f>IFERROR(VLOOKUP(A81,'📄 S1 Exam'!$A:$F,6,0),"")</f>
        <v>0</v>
      </c>
      <c r="J81" s="109" t="str">
        <f t="shared" si="2"/>
        <v>❌</v>
      </c>
      <c r="K81" s="109" t="str">
        <f t="shared" si="3"/>
        <v>❌ NOT YET</v>
      </c>
      <c r="L81" s="111">
        <f t="shared" si="4"/>
        <v>0.09</v>
      </c>
      <c r="M81" s="109" t="str">
        <f t="shared" si="5"/>
        <v>Below Pass</v>
      </c>
      <c r="N81" s="105" t="str">
        <f t="shared" si="6"/>
        <v>Score 9/100 — needs 50. Attendance incomplete.</v>
      </c>
    </row>
    <row r="82" spans="1:14" ht="18" customHeight="1">
      <c r="A82" s="138" t="s">
        <v>241</v>
      </c>
      <c r="B82" s="144">
        <f>IFERROR(VLOOKUP(A82,'👥 All Students'!$A:$C,2,0),"")</f>
        <v>0</v>
      </c>
      <c r="C82" s="144">
        <f>IFERROR(VLOOKUP(A82,'👥 All Students'!$A:$C,3,0),"")</f>
        <v>0</v>
      </c>
      <c r="D82" s="97">
        <f>IFERROR(VLOOKUP(A82,'📝 S1 Quiz'!$A:$L,12,0),"")</f>
        <v>35</v>
      </c>
      <c r="E82" s="98">
        <f>IFERROR(VLOOKUP(A82,'📄 S1 Exam'!$A:$D,4,0),"")</f>
        <v>51</v>
      </c>
      <c r="F82" s="99">
        <f t="shared" si="0"/>
        <v>86</v>
      </c>
      <c r="G82" s="100" t="str">
        <f t="shared" si="1"/>
        <v>✅</v>
      </c>
      <c r="H82" s="142" t="str">
        <f>IFERROR(VLOOKUP(A82,'📄 S1 Exam'!$A:$E,5,0),"")</f>
        <v>Attended</v>
      </c>
      <c r="I82" s="142">
        <f>IFERROR(VLOOKUP(A82,'📄 S1 Exam'!$A:$F,6,0),"")</f>
        <v>0</v>
      </c>
      <c r="J82" s="100" t="str">
        <f t="shared" si="2"/>
        <v>❌</v>
      </c>
      <c r="K82" s="100" t="str">
        <f t="shared" si="3"/>
        <v>❌ NOT YET</v>
      </c>
      <c r="L82" s="102">
        <f t="shared" si="4"/>
        <v>0.86</v>
      </c>
      <c r="M82" s="100" t="str">
        <f t="shared" si="5"/>
        <v>Merit</v>
      </c>
      <c r="N82" s="96" t="str">
        <f t="shared" si="6"/>
        <v>Attendance incomplete.</v>
      </c>
    </row>
    <row r="83" spans="1:14" ht="18" customHeight="1">
      <c r="A83" s="138" t="s">
        <v>243</v>
      </c>
      <c r="B83" s="143">
        <f>IFERROR(VLOOKUP(A83,'👥 All Students'!$A:$C,2,0),"")</f>
        <v>0</v>
      </c>
      <c r="C83" s="143">
        <f>IFERROR(VLOOKUP(A83,'👥 All Students'!$A:$C,3,0),"")</f>
        <v>0</v>
      </c>
      <c r="D83" s="97">
        <f>IFERROR(VLOOKUP(A83,'📝 S1 Quiz'!$A:$L,12,0),"")</f>
        <v>27</v>
      </c>
      <c r="E83" s="98">
        <f>IFERROR(VLOOKUP(A83,'📄 S1 Exam'!$A:$D,4,0),"")</f>
        <v>27</v>
      </c>
      <c r="F83" s="99">
        <f t="shared" si="0"/>
        <v>54</v>
      </c>
      <c r="G83" s="109" t="str">
        <f t="shared" si="1"/>
        <v>✅</v>
      </c>
      <c r="H83" s="141" t="str">
        <f>IFERROR(VLOOKUP(A83,'📄 S1 Exam'!$A:$E,5,0),"")</f>
        <v>Attended</v>
      </c>
      <c r="I83" s="141">
        <f>IFERROR(VLOOKUP(A83,'📄 S1 Exam'!$A:$F,6,0),"")</f>
        <v>0</v>
      </c>
      <c r="J83" s="109" t="str">
        <f t="shared" si="2"/>
        <v>❌</v>
      </c>
      <c r="K83" s="109" t="str">
        <f t="shared" si="3"/>
        <v>❌ NOT YET</v>
      </c>
      <c r="L83" s="111">
        <f t="shared" si="4"/>
        <v>0.54</v>
      </c>
      <c r="M83" s="109" t="str">
        <f t="shared" si="5"/>
        <v>Pass</v>
      </c>
      <c r="N83" s="105" t="str">
        <f t="shared" si="6"/>
        <v>Attendance incomplete.</v>
      </c>
    </row>
    <row r="84" spans="1:14" ht="18" customHeight="1">
      <c r="A84" s="138" t="s">
        <v>244</v>
      </c>
      <c r="B84" s="144">
        <f>IFERROR(VLOOKUP(A84,'👥 All Students'!$A:$C,2,0),"")</f>
        <v>0</v>
      </c>
      <c r="C84" s="144">
        <f>IFERROR(VLOOKUP(A84,'👥 All Students'!$A:$C,3,0),"")</f>
        <v>0</v>
      </c>
      <c r="D84" s="97">
        <f>IFERROR(VLOOKUP(A84,'📝 S1 Quiz'!$A:$L,12,0),"")</f>
        <v>31.5</v>
      </c>
      <c r="E84" s="98">
        <f>IFERROR(VLOOKUP(A84,'📄 S1 Exam'!$A:$D,4,0),"")</f>
        <v>40.5</v>
      </c>
      <c r="F84" s="99">
        <f t="shared" si="0"/>
        <v>72</v>
      </c>
      <c r="G84" s="100" t="str">
        <f t="shared" si="1"/>
        <v>✅</v>
      </c>
      <c r="H84" s="142" t="str">
        <f>IFERROR(VLOOKUP(A84,'📄 S1 Exam'!$A:$E,5,0),"")</f>
        <v>Attended</v>
      </c>
      <c r="I84" s="142">
        <f>IFERROR(VLOOKUP(A84,'📄 S1 Exam'!$A:$F,6,0),"")</f>
        <v>0</v>
      </c>
      <c r="J84" s="100" t="str">
        <f t="shared" si="2"/>
        <v>❌</v>
      </c>
      <c r="K84" s="100" t="str">
        <f t="shared" si="3"/>
        <v>❌ NOT YET</v>
      </c>
      <c r="L84" s="102">
        <f t="shared" si="4"/>
        <v>0.72</v>
      </c>
      <c r="M84" s="100" t="str">
        <f t="shared" si="5"/>
        <v>Pass</v>
      </c>
      <c r="N84" s="96" t="str">
        <f t="shared" si="6"/>
        <v>Attendance incomplete.</v>
      </c>
    </row>
    <row r="85" spans="1:14" ht="18" customHeight="1">
      <c r="A85" s="138" t="s">
        <v>245</v>
      </c>
      <c r="B85" s="143">
        <f>IFERROR(VLOOKUP(A85,'👥 All Students'!$A:$C,2,0),"")</f>
        <v>0</v>
      </c>
      <c r="C85" s="143">
        <f>IFERROR(VLOOKUP(A85,'👥 All Students'!$A:$C,3,0),"")</f>
        <v>0</v>
      </c>
      <c r="D85" s="97">
        <f>IFERROR(VLOOKUP(A85,'📝 S1 Quiz'!$A:$L,12,0),"")</f>
        <v>38</v>
      </c>
      <c r="E85" s="98">
        <f>IFERROR(VLOOKUP(A85,'📄 S1 Exam'!$A:$D,4,0),"")</f>
        <v>43.5</v>
      </c>
      <c r="F85" s="99">
        <f t="shared" si="0"/>
        <v>81.5</v>
      </c>
      <c r="G85" s="109" t="str">
        <f t="shared" si="1"/>
        <v>✅</v>
      </c>
      <c r="H85" s="141" t="str">
        <f>IFERROR(VLOOKUP(A85,'📄 S1 Exam'!$A:$E,5,0),"")</f>
        <v>Attended</v>
      </c>
      <c r="I85" s="141">
        <f>IFERROR(VLOOKUP(A85,'📄 S1 Exam'!$A:$F,6,0),"")</f>
        <v>0</v>
      </c>
      <c r="J85" s="109" t="str">
        <f t="shared" si="2"/>
        <v>❌</v>
      </c>
      <c r="K85" s="109" t="str">
        <f t="shared" si="3"/>
        <v>❌ NOT YET</v>
      </c>
      <c r="L85" s="111">
        <f t="shared" si="4"/>
        <v>0.81499999999999995</v>
      </c>
      <c r="M85" s="109" t="str">
        <f t="shared" si="5"/>
        <v>Merit</v>
      </c>
      <c r="N85" s="105" t="str">
        <f t="shared" si="6"/>
        <v>Attendance incomplete.</v>
      </c>
    </row>
    <row r="86" spans="1:14" ht="18" customHeight="1">
      <c r="A86" s="138" t="s">
        <v>246</v>
      </c>
      <c r="B86" s="144">
        <f>IFERROR(VLOOKUP(A86,'👥 All Students'!$A:$C,2,0),"")</f>
        <v>0</v>
      </c>
      <c r="C86" s="144">
        <f>IFERROR(VLOOKUP(A86,'👥 All Students'!$A:$C,3,0),"")</f>
        <v>0</v>
      </c>
      <c r="D86" s="97">
        <f>IFERROR(VLOOKUP(A86,'📝 S1 Quiz'!$A:$L,12,0),"")</f>
        <v>30.5</v>
      </c>
      <c r="E86" s="98">
        <f>IFERROR(VLOOKUP(A86,'📄 S1 Exam'!$A:$D,4,0),"")</f>
        <v>43</v>
      </c>
      <c r="F86" s="99">
        <f t="shared" si="0"/>
        <v>73.5</v>
      </c>
      <c r="G86" s="100" t="str">
        <f t="shared" si="1"/>
        <v>✅</v>
      </c>
      <c r="H86" s="142" t="str">
        <f>IFERROR(VLOOKUP(A86,'📄 S1 Exam'!$A:$E,5,0),"")</f>
        <v>Attended</v>
      </c>
      <c r="I86" s="142">
        <f>IFERROR(VLOOKUP(A86,'📄 S1 Exam'!$A:$F,6,0),"")</f>
        <v>0</v>
      </c>
      <c r="J86" s="100" t="str">
        <f t="shared" si="2"/>
        <v>❌</v>
      </c>
      <c r="K86" s="100" t="str">
        <f t="shared" si="3"/>
        <v>❌ NOT YET</v>
      </c>
      <c r="L86" s="102">
        <f t="shared" si="4"/>
        <v>0.73499999999999999</v>
      </c>
      <c r="M86" s="100" t="str">
        <f t="shared" si="5"/>
        <v>Pass</v>
      </c>
      <c r="N86" s="96" t="str">
        <f t="shared" si="6"/>
        <v>Attendance incomplete.</v>
      </c>
    </row>
    <row r="87" spans="1:14" ht="18" customHeight="1">
      <c r="A87" s="138" t="s">
        <v>247</v>
      </c>
      <c r="B87" s="143">
        <f>IFERROR(VLOOKUP(A87,'👥 All Students'!$A:$C,2,0),"")</f>
        <v>0</v>
      </c>
      <c r="C87" s="143">
        <f>IFERROR(VLOOKUP(A87,'👥 All Students'!$A:$C,3,0),"")</f>
        <v>0</v>
      </c>
      <c r="D87" s="97">
        <f>IFERROR(VLOOKUP(A87,'📝 S1 Quiz'!$A:$L,12,0),"")</f>
        <v>32.5</v>
      </c>
      <c r="E87" s="98">
        <f>IFERROR(VLOOKUP(A87,'📄 S1 Exam'!$A:$D,4,0),"")</f>
        <v>48.5</v>
      </c>
      <c r="F87" s="99">
        <f t="shared" si="0"/>
        <v>81</v>
      </c>
      <c r="G87" s="109" t="str">
        <f t="shared" si="1"/>
        <v>✅</v>
      </c>
      <c r="H87" s="141" t="str">
        <f>IFERROR(VLOOKUP(A87,'📄 S1 Exam'!$A:$E,5,0),"")</f>
        <v>Attended</v>
      </c>
      <c r="I87" s="141">
        <f>IFERROR(VLOOKUP(A87,'📄 S1 Exam'!$A:$F,6,0),"")</f>
        <v>0</v>
      </c>
      <c r="J87" s="109" t="str">
        <f t="shared" si="2"/>
        <v>❌</v>
      </c>
      <c r="K87" s="109" t="str">
        <f t="shared" si="3"/>
        <v>❌ NOT YET</v>
      </c>
      <c r="L87" s="111">
        <f t="shared" si="4"/>
        <v>0.81</v>
      </c>
      <c r="M87" s="109" t="str">
        <f t="shared" si="5"/>
        <v>Merit</v>
      </c>
      <c r="N87" s="105" t="str">
        <f t="shared" si="6"/>
        <v>Attendance incomplete.</v>
      </c>
    </row>
    <row r="88" spans="1:14" ht="18" customHeight="1">
      <c r="A88" s="138" t="s">
        <v>248</v>
      </c>
      <c r="B88" s="144">
        <f>IFERROR(VLOOKUP(A88,'👥 All Students'!$A:$C,2,0),"")</f>
        <v>0</v>
      </c>
      <c r="C88" s="144">
        <f>IFERROR(VLOOKUP(A88,'👥 All Students'!$A:$C,3,0),"")</f>
        <v>0</v>
      </c>
      <c r="D88" s="97">
        <f>IFERROR(VLOOKUP(A88,'📝 S1 Quiz'!$A:$L,12,0),"")</f>
        <v>32</v>
      </c>
      <c r="E88" s="98">
        <f>IFERROR(VLOOKUP(A88,'📄 S1 Exam'!$A:$D,4,0),"")</f>
        <v>48.5</v>
      </c>
      <c r="F88" s="99">
        <f t="shared" si="0"/>
        <v>80.5</v>
      </c>
      <c r="G88" s="100" t="str">
        <f t="shared" si="1"/>
        <v>✅</v>
      </c>
      <c r="H88" s="142" t="str">
        <f>IFERROR(VLOOKUP(A88,'📄 S1 Exam'!$A:$E,5,0),"")</f>
        <v>Attended</v>
      </c>
      <c r="I88" s="142">
        <f>IFERROR(VLOOKUP(A88,'📄 S1 Exam'!$A:$F,6,0),"")</f>
        <v>0</v>
      </c>
      <c r="J88" s="100" t="str">
        <f t="shared" si="2"/>
        <v>❌</v>
      </c>
      <c r="K88" s="100" t="str">
        <f t="shared" si="3"/>
        <v>❌ NOT YET</v>
      </c>
      <c r="L88" s="102">
        <f t="shared" si="4"/>
        <v>0.80500000000000005</v>
      </c>
      <c r="M88" s="100" t="str">
        <f t="shared" si="5"/>
        <v>Merit</v>
      </c>
      <c r="N88" s="96" t="str">
        <f t="shared" si="6"/>
        <v>Attendance incomplete.</v>
      </c>
    </row>
    <row r="89" spans="1:14" ht="18" customHeight="1">
      <c r="A89" s="138" t="s">
        <v>249</v>
      </c>
      <c r="B89" s="143">
        <f>IFERROR(VLOOKUP(A89,'👥 All Students'!$A:$C,2,0),"")</f>
        <v>0</v>
      </c>
      <c r="C89" s="143">
        <f>IFERROR(VLOOKUP(A89,'👥 All Students'!$A:$C,3,0),"")</f>
        <v>0</v>
      </c>
      <c r="D89" s="97">
        <f>IFERROR(VLOOKUP(A89,'📝 S1 Quiz'!$A:$L,12,0),"")</f>
        <v>28.5</v>
      </c>
      <c r="E89" s="98">
        <f>IFERROR(VLOOKUP(A89,'📄 S1 Exam'!$A:$D,4,0),"")</f>
        <v>38.5</v>
      </c>
      <c r="F89" s="99">
        <f t="shared" si="0"/>
        <v>67</v>
      </c>
      <c r="G89" s="109" t="str">
        <f t="shared" si="1"/>
        <v>✅</v>
      </c>
      <c r="H89" s="141" t="str">
        <f>IFERROR(VLOOKUP(A89,'📄 S1 Exam'!$A:$E,5,0),"")</f>
        <v>Attended</v>
      </c>
      <c r="I89" s="141">
        <f>IFERROR(VLOOKUP(A89,'📄 S1 Exam'!$A:$F,6,0),"")</f>
        <v>0</v>
      </c>
      <c r="J89" s="109" t="str">
        <f t="shared" si="2"/>
        <v>❌</v>
      </c>
      <c r="K89" s="109" t="str">
        <f t="shared" si="3"/>
        <v>❌ NOT YET</v>
      </c>
      <c r="L89" s="111">
        <f t="shared" si="4"/>
        <v>0.67</v>
      </c>
      <c r="M89" s="109" t="str">
        <f t="shared" si="5"/>
        <v>Pass</v>
      </c>
      <c r="N89" s="105" t="str">
        <f t="shared" si="6"/>
        <v>Attendance incomplete.</v>
      </c>
    </row>
    <row r="90" spans="1:14" ht="18" customHeight="1">
      <c r="A90" s="138" t="s">
        <v>250</v>
      </c>
      <c r="B90" s="144">
        <f>IFERROR(VLOOKUP(A90,'👥 All Students'!$A:$C,2,0),"")</f>
        <v>0</v>
      </c>
      <c r="C90" s="144">
        <f>IFERROR(VLOOKUP(A90,'👥 All Students'!$A:$C,3,0),"")</f>
        <v>0</v>
      </c>
      <c r="D90" s="97">
        <f>IFERROR(VLOOKUP(A90,'📝 S1 Quiz'!$A:$L,12,0),"")</f>
        <v>37</v>
      </c>
      <c r="E90" s="98">
        <f>IFERROR(VLOOKUP(A90,'📄 S1 Exam'!$A:$D,4,0),"")</f>
        <v>39</v>
      </c>
      <c r="F90" s="99">
        <f t="shared" si="0"/>
        <v>76</v>
      </c>
      <c r="G90" s="100" t="str">
        <f t="shared" si="1"/>
        <v>✅</v>
      </c>
      <c r="H90" s="142" t="str">
        <f>IFERROR(VLOOKUP(A90,'📄 S1 Exam'!$A:$E,5,0),"")</f>
        <v>Attended</v>
      </c>
      <c r="I90" s="142">
        <f>IFERROR(VLOOKUP(A90,'📄 S1 Exam'!$A:$F,6,0),"")</f>
        <v>0</v>
      </c>
      <c r="J90" s="100" t="str">
        <f t="shared" si="2"/>
        <v>❌</v>
      </c>
      <c r="K90" s="100" t="str">
        <f t="shared" si="3"/>
        <v>❌ NOT YET</v>
      </c>
      <c r="L90" s="102">
        <f t="shared" si="4"/>
        <v>0.76</v>
      </c>
      <c r="M90" s="100" t="str">
        <f t="shared" si="5"/>
        <v>Merit</v>
      </c>
      <c r="N90" s="96" t="str">
        <f t="shared" si="6"/>
        <v>Attendance incomplete.</v>
      </c>
    </row>
    <row r="91" spans="1:14" ht="18" customHeight="1">
      <c r="A91" s="138" t="s">
        <v>251</v>
      </c>
      <c r="B91" s="143">
        <f>IFERROR(VLOOKUP(A91,'👥 All Students'!$A:$C,2,0),"")</f>
        <v>0</v>
      </c>
      <c r="C91" s="143">
        <f>IFERROR(VLOOKUP(A91,'👥 All Students'!$A:$C,3,0),"")</f>
        <v>0</v>
      </c>
      <c r="D91" s="97">
        <f>IFERROR(VLOOKUP(A91,'📝 S1 Quiz'!$A:$L,12,0),"")</f>
        <v>27</v>
      </c>
      <c r="E91" s="98">
        <f>IFERROR(VLOOKUP(A91,'📄 S1 Exam'!$A:$D,4,0),"")</f>
        <v>37.5</v>
      </c>
      <c r="F91" s="99">
        <f t="shared" si="0"/>
        <v>64.5</v>
      </c>
      <c r="G91" s="109" t="str">
        <f t="shared" si="1"/>
        <v>✅</v>
      </c>
      <c r="H91" s="141" t="str">
        <f>IFERROR(VLOOKUP(A91,'📄 S1 Exam'!$A:$E,5,0),"")</f>
        <v>Attended</v>
      </c>
      <c r="I91" s="141">
        <f>IFERROR(VLOOKUP(A91,'📄 S1 Exam'!$A:$F,6,0),"")</f>
        <v>0</v>
      </c>
      <c r="J91" s="109" t="str">
        <f t="shared" si="2"/>
        <v>❌</v>
      </c>
      <c r="K91" s="109" t="str">
        <f t="shared" si="3"/>
        <v>❌ NOT YET</v>
      </c>
      <c r="L91" s="111">
        <f t="shared" si="4"/>
        <v>0.64500000000000002</v>
      </c>
      <c r="M91" s="109" t="str">
        <f t="shared" si="5"/>
        <v>Pass</v>
      </c>
      <c r="N91" s="105" t="str">
        <f t="shared" si="6"/>
        <v>Attendance incomplete.</v>
      </c>
    </row>
    <row r="92" spans="1:14" ht="18" customHeight="1">
      <c r="A92" s="138" t="s">
        <v>253</v>
      </c>
      <c r="B92" s="144">
        <f>IFERROR(VLOOKUP(A92,'👥 All Students'!$A:$C,2,0),"")</f>
        <v>0</v>
      </c>
      <c r="C92" s="144">
        <f>IFERROR(VLOOKUP(A92,'👥 All Students'!$A:$C,3,0),"")</f>
        <v>0</v>
      </c>
      <c r="D92" s="97">
        <f>IFERROR(VLOOKUP(A92,'📝 S1 Quiz'!$A:$L,12,0),"")</f>
        <v>33.5</v>
      </c>
      <c r="E92" s="98">
        <f>IFERROR(VLOOKUP(A92,'📄 S1 Exam'!$A:$D,4,0),"")</f>
        <v>46</v>
      </c>
      <c r="F92" s="99">
        <f t="shared" si="0"/>
        <v>79.5</v>
      </c>
      <c r="G92" s="100" t="str">
        <f t="shared" si="1"/>
        <v>✅</v>
      </c>
      <c r="H92" s="142" t="str">
        <f>IFERROR(VLOOKUP(A92,'📄 S1 Exam'!$A:$E,5,0),"")</f>
        <v>Attended</v>
      </c>
      <c r="I92" s="142">
        <f>IFERROR(VLOOKUP(A92,'📄 S1 Exam'!$A:$F,6,0),"")</f>
        <v>0</v>
      </c>
      <c r="J92" s="100" t="str">
        <f t="shared" si="2"/>
        <v>❌</v>
      </c>
      <c r="K92" s="100" t="str">
        <f t="shared" si="3"/>
        <v>❌ NOT YET</v>
      </c>
      <c r="L92" s="102">
        <f t="shared" si="4"/>
        <v>0.79500000000000004</v>
      </c>
      <c r="M92" s="100" t="str">
        <f t="shared" si="5"/>
        <v>Merit</v>
      </c>
      <c r="N92" s="96" t="str">
        <f t="shared" si="6"/>
        <v>Attendance incomplete.</v>
      </c>
    </row>
    <row r="93" spans="1:14" ht="18" customHeight="1">
      <c r="A93" s="138" t="s">
        <v>255</v>
      </c>
      <c r="B93" s="143">
        <f>IFERROR(VLOOKUP(A93,'👥 All Students'!$A:$C,2,0),"")</f>
        <v>0</v>
      </c>
      <c r="C93" s="143">
        <f>IFERROR(VLOOKUP(A93,'👥 All Students'!$A:$C,3,0),"")</f>
        <v>0</v>
      </c>
      <c r="D93" s="97">
        <f>IFERROR(VLOOKUP(A93,'📝 S1 Quiz'!$A:$L,12,0),"")</f>
        <v>36</v>
      </c>
      <c r="E93" s="98">
        <f>IFERROR(VLOOKUP(A93,'📄 S1 Exam'!$A:$D,4,0),"")</f>
        <v>40</v>
      </c>
      <c r="F93" s="99">
        <f t="shared" si="0"/>
        <v>76</v>
      </c>
      <c r="G93" s="109" t="str">
        <f t="shared" si="1"/>
        <v>✅</v>
      </c>
      <c r="H93" s="141" t="str">
        <f>IFERROR(VLOOKUP(A93,'📄 S1 Exam'!$A:$E,5,0),"")</f>
        <v>Attended</v>
      </c>
      <c r="I93" s="141">
        <f>IFERROR(VLOOKUP(A93,'📄 S1 Exam'!$A:$F,6,0),"")</f>
        <v>0</v>
      </c>
      <c r="J93" s="109" t="str">
        <f t="shared" si="2"/>
        <v>❌</v>
      </c>
      <c r="K93" s="109" t="str">
        <f t="shared" si="3"/>
        <v>❌ NOT YET</v>
      </c>
      <c r="L93" s="111">
        <f t="shared" si="4"/>
        <v>0.76</v>
      </c>
      <c r="M93" s="109" t="str">
        <f t="shared" si="5"/>
        <v>Merit</v>
      </c>
      <c r="N93" s="105" t="str">
        <f t="shared" si="6"/>
        <v>Attendance incomplete.</v>
      </c>
    </row>
    <row r="94" spans="1:14" ht="18" customHeight="1">
      <c r="A94" s="138" t="s">
        <v>256</v>
      </c>
      <c r="B94" s="144">
        <f>IFERROR(VLOOKUP(A94,'👥 All Students'!$A:$C,2,0),"")</f>
        <v>0</v>
      </c>
      <c r="C94" s="144">
        <f>IFERROR(VLOOKUP(A94,'👥 All Students'!$A:$C,3,0),"")</f>
        <v>0</v>
      </c>
      <c r="D94" s="97">
        <f>IFERROR(VLOOKUP(A94,'📝 S1 Quiz'!$A:$L,12,0),"")</f>
        <v>22.5</v>
      </c>
      <c r="E94" s="98">
        <f>IFERROR(VLOOKUP(A94,'📄 S1 Exam'!$A:$D,4,0),"")</f>
        <v>36</v>
      </c>
      <c r="F94" s="99">
        <f t="shared" si="0"/>
        <v>58.5</v>
      </c>
      <c r="G94" s="100" t="str">
        <f t="shared" si="1"/>
        <v>✅</v>
      </c>
      <c r="H94" s="142" t="str">
        <f>IFERROR(VLOOKUP(A94,'📄 S1 Exam'!$A:$E,5,0),"")</f>
        <v>Attended</v>
      </c>
      <c r="I94" s="142">
        <f>IFERROR(VLOOKUP(A94,'📄 S1 Exam'!$A:$F,6,0),"")</f>
        <v>0</v>
      </c>
      <c r="J94" s="100" t="str">
        <f t="shared" si="2"/>
        <v>❌</v>
      </c>
      <c r="K94" s="100" t="str">
        <f t="shared" si="3"/>
        <v>❌ NOT YET</v>
      </c>
      <c r="L94" s="102">
        <f t="shared" si="4"/>
        <v>0.58499999999999996</v>
      </c>
      <c r="M94" s="100" t="str">
        <f t="shared" si="5"/>
        <v>Pass</v>
      </c>
      <c r="N94" s="96" t="str">
        <f t="shared" si="6"/>
        <v>Attendance incomplete.</v>
      </c>
    </row>
    <row r="95" spans="1:14" ht="18" customHeight="1">
      <c r="A95" s="138" t="s">
        <v>257</v>
      </c>
      <c r="B95" s="143">
        <f>IFERROR(VLOOKUP(A95,'👥 All Students'!$A:$C,2,0),"")</f>
        <v>0</v>
      </c>
      <c r="C95" s="143">
        <f>IFERROR(VLOOKUP(A95,'👥 All Students'!$A:$C,3,0),"")</f>
        <v>0</v>
      </c>
      <c r="D95" s="97">
        <f>IFERROR(VLOOKUP(A95,'📝 S1 Quiz'!$A:$L,12,0),"")</f>
        <v>17</v>
      </c>
      <c r="E95" s="98">
        <f>IFERROR(VLOOKUP(A95,'📄 S1 Exam'!$A:$D,4,0),"")</f>
        <v>0</v>
      </c>
      <c r="F95" s="99">
        <f t="shared" si="0"/>
        <v>17</v>
      </c>
      <c r="G95" s="109" t="str">
        <f t="shared" si="1"/>
        <v>❌</v>
      </c>
      <c r="H95" s="141" t="str">
        <f>IFERROR(VLOOKUP(A95,'📄 S1 Exam'!$A:$E,5,0),"")</f>
        <v>Attended</v>
      </c>
      <c r="I95" s="141">
        <f>IFERROR(VLOOKUP(A95,'📄 S1 Exam'!$A:$F,6,0),"")</f>
        <v>0</v>
      </c>
      <c r="J95" s="109" t="str">
        <f t="shared" si="2"/>
        <v>❌</v>
      </c>
      <c r="K95" s="109" t="str">
        <f t="shared" si="3"/>
        <v>❌ NOT YET</v>
      </c>
      <c r="L95" s="111">
        <f t="shared" si="4"/>
        <v>0.17</v>
      </c>
      <c r="M95" s="109" t="str">
        <f t="shared" si="5"/>
        <v>Below Pass</v>
      </c>
      <c r="N95" s="105" t="str">
        <f t="shared" si="6"/>
        <v>Score 17/100 — needs 50. Attendance incomplete.</v>
      </c>
    </row>
    <row r="96" spans="1:14" ht="18" customHeight="1">
      <c r="A96" s="138" t="s">
        <v>259</v>
      </c>
      <c r="B96" s="144">
        <f>IFERROR(VLOOKUP(A96,'👥 All Students'!$A:$C,2,0),"")</f>
        <v>0</v>
      </c>
      <c r="C96" s="144">
        <f>IFERROR(VLOOKUP(A96,'👥 All Students'!$A:$C,3,0),"")</f>
        <v>0</v>
      </c>
      <c r="D96" s="97">
        <f>IFERROR(VLOOKUP(A96,'📝 S1 Quiz'!$A:$L,12,0),"")</f>
        <v>35.5</v>
      </c>
      <c r="E96" s="98">
        <f>IFERROR(VLOOKUP(A96,'📄 S1 Exam'!$A:$D,4,0),"")</f>
        <v>48</v>
      </c>
      <c r="F96" s="99">
        <f t="shared" si="0"/>
        <v>83.5</v>
      </c>
      <c r="G96" s="100" t="str">
        <f t="shared" si="1"/>
        <v>✅</v>
      </c>
      <c r="H96" s="142" t="str">
        <f>IFERROR(VLOOKUP(A96,'📄 S1 Exam'!$A:$E,5,0),"")</f>
        <v>Attended</v>
      </c>
      <c r="I96" s="142">
        <f>IFERROR(VLOOKUP(A96,'📄 S1 Exam'!$A:$F,6,0),"")</f>
        <v>0</v>
      </c>
      <c r="J96" s="100" t="str">
        <f t="shared" si="2"/>
        <v>❌</v>
      </c>
      <c r="K96" s="100" t="str">
        <f t="shared" si="3"/>
        <v>❌ NOT YET</v>
      </c>
      <c r="L96" s="102">
        <f t="shared" si="4"/>
        <v>0.83499999999999996</v>
      </c>
      <c r="M96" s="100" t="str">
        <f t="shared" si="5"/>
        <v>Merit</v>
      </c>
      <c r="N96" s="96" t="str">
        <f t="shared" si="6"/>
        <v>Attendance incomplete.</v>
      </c>
    </row>
    <row r="97" spans="1:14" ht="18" customHeight="1">
      <c r="A97" s="138" t="s">
        <v>261</v>
      </c>
      <c r="B97" s="143">
        <f>IFERROR(VLOOKUP(A97,'👥 All Students'!$A:$C,2,0),"")</f>
        <v>0</v>
      </c>
      <c r="C97" s="143">
        <f>IFERROR(VLOOKUP(A97,'👥 All Students'!$A:$C,3,0),"")</f>
        <v>0</v>
      </c>
      <c r="D97" s="97">
        <f>IFERROR(VLOOKUP(A97,'📝 S1 Quiz'!$A:$L,12,0),"")</f>
        <v>28.5</v>
      </c>
      <c r="E97" s="98">
        <f>IFERROR(VLOOKUP(A97,'📄 S1 Exam'!$A:$D,4,0),"")</f>
        <v>26</v>
      </c>
      <c r="F97" s="99">
        <f t="shared" si="0"/>
        <v>54.5</v>
      </c>
      <c r="G97" s="109" t="str">
        <f t="shared" si="1"/>
        <v>✅</v>
      </c>
      <c r="H97" s="141" t="str">
        <f>IFERROR(VLOOKUP(A97,'📄 S1 Exam'!$A:$E,5,0),"")</f>
        <v>Attended</v>
      </c>
      <c r="I97" s="141">
        <f>IFERROR(VLOOKUP(A97,'📄 S1 Exam'!$A:$F,6,0),"")</f>
        <v>0</v>
      </c>
      <c r="J97" s="109" t="str">
        <f t="shared" si="2"/>
        <v>❌</v>
      </c>
      <c r="K97" s="109" t="str">
        <f t="shared" si="3"/>
        <v>❌ NOT YET</v>
      </c>
      <c r="L97" s="111">
        <f t="shared" si="4"/>
        <v>0.54500000000000004</v>
      </c>
      <c r="M97" s="109" t="str">
        <f t="shared" si="5"/>
        <v>Pass</v>
      </c>
      <c r="N97" s="105" t="str">
        <f t="shared" si="6"/>
        <v>Attendance incomplete.</v>
      </c>
    </row>
    <row r="98" spans="1:14" ht="18" customHeight="1">
      <c r="A98" s="138" t="s">
        <v>262</v>
      </c>
      <c r="B98" s="144">
        <f>IFERROR(VLOOKUP(A98,'👥 All Students'!$A:$C,2,0),"")</f>
        <v>0</v>
      </c>
      <c r="C98" s="144">
        <f>IFERROR(VLOOKUP(A98,'👥 All Students'!$A:$C,3,0),"")</f>
        <v>0</v>
      </c>
      <c r="D98" s="97">
        <f>IFERROR(VLOOKUP(A98,'📝 S1 Quiz'!$A:$L,12,0),"")</f>
        <v>8</v>
      </c>
      <c r="E98" s="98">
        <f>IFERROR(VLOOKUP(A98,'📄 S1 Exam'!$A:$D,4,0),"")</f>
        <v>0</v>
      </c>
      <c r="F98" s="99">
        <f t="shared" si="0"/>
        <v>8</v>
      </c>
      <c r="G98" s="100" t="str">
        <f t="shared" si="1"/>
        <v>❌</v>
      </c>
      <c r="H98" s="142">
        <f>IFERROR(VLOOKUP(A98,'📄 S1 Exam'!$A:$E,5,0),"")</f>
        <v>0</v>
      </c>
      <c r="I98" s="142">
        <f>IFERROR(VLOOKUP(A98,'📄 S1 Exam'!$A:$F,6,0),"")</f>
        <v>0</v>
      </c>
      <c r="J98" s="100" t="str">
        <f t="shared" si="2"/>
        <v>❌</v>
      </c>
      <c r="K98" s="100" t="str">
        <f t="shared" si="3"/>
        <v>❌ NOT YET</v>
      </c>
      <c r="L98" s="102">
        <f t="shared" si="4"/>
        <v>0.08</v>
      </c>
      <c r="M98" s="100" t="str">
        <f t="shared" si="5"/>
        <v>Below Pass</v>
      </c>
      <c r="N98" s="96" t="str">
        <f t="shared" si="6"/>
        <v>Score 8/100 — needs 50. Attendance incomplete.</v>
      </c>
    </row>
    <row r="99" spans="1:14" ht="18" customHeight="1">
      <c r="A99" s="138" t="s">
        <v>263</v>
      </c>
      <c r="B99" s="143">
        <f>IFERROR(VLOOKUP(A99,'👥 All Students'!$A:$C,2,0),"")</f>
        <v>0</v>
      </c>
      <c r="C99" s="143">
        <f>IFERROR(VLOOKUP(A99,'👥 All Students'!$A:$C,3,0),"")</f>
        <v>0</v>
      </c>
      <c r="D99" s="97">
        <f>IFERROR(VLOOKUP(A99,'📝 S1 Quiz'!$A:$L,12,0),"")</f>
        <v>26</v>
      </c>
      <c r="E99" s="98">
        <f>IFERROR(VLOOKUP(A99,'📄 S1 Exam'!$A:$D,4,0),"")</f>
        <v>40</v>
      </c>
      <c r="F99" s="99">
        <f t="shared" si="0"/>
        <v>66</v>
      </c>
      <c r="G99" s="109" t="str">
        <f t="shared" si="1"/>
        <v>✅</v>
      </c>
      <c r="H99" s="141" t="str">
        <f>IFERROR(VLOOKUP(A99,'📄 S1 Exam'!$A:$E,5,0),"")</f>
        <v>Attended</v>
      </c>
      <c r="I99" s="141">
        <f>IFERROR(VLOOKUP(A99,'📄 S1 Exam'!$A:$F,6,0),"")</f>
        <v>0</v>
      </c>
      <c r="J99" s="109" t="str">
        <f t="shared" si="2"/>
        <v>❌</v>
      </c>
      <c r="K99" s="109" t="str">
        <f t="shared" si="3"/>
        <v>❌ NOT YET</v>
      </c>
      <c r="L99" s="111">
        <f t="shared" si="4"/>
        <v>0.66</v>
      </c>
      <c r="M99" s="109" t="str">
        <f t="shared" si="5"/>
        <v>Pass</v>
      </c>
      <c r="N99" s="105" t="str">
        <f t="shared" si="6"/>
        <v>Attendance incomplete.</v>
      </c>
    </row>
    <row r="100" spans="1:14" ht="18" customHeight="1">
      <c r="A100" s="138" t="s">
        <v>268</v>
      </c>
      <c r="B100" s="144" t="str">
        <f>IFERROR(VLOOKUP(A100,'👥 All Students'!$A:$C,2,0),"")</f>
        <v/>
      </c>
      <c r="C100" s="144" t="str">
        <f>IFERROR(VLOOKUP(A100,'👥 All Students'!$A:$C,3,0),"")</f>
        <v/>
      </c>
      <c r="D100" s="97">
        <f>IFERROR(VLOOKUP(A100,'📝 S1 Quiz'!$A:$L,12,0),"")</f>
        <v>32.5</v>
      </c>
      <c r="E100" s="98">
        <f>IFERROR(VLOOKUP(A100,'📄 S1 Exam'!$A:$D,4,0),"")</f>
        <v>47</v>
      </c>
      <c r="F100" s="99">
        <f t="shared" si="0"/>
        <v>79.5</v>
      </c>
      <c r="G100" s="100" t="str">
        <f t="shared" si="1"/>
        <v>✅</v>
      </c>
      <c r="H100" s="142" t="str">
        <f>IFERROR(VLOOKUP(A100,'📄 S1 Exam'!$A:$E,5,0),"")</f>
        <v>Attended</v>
      </c>
      <c r="I100" s="142">
        <f>IFERROR(VLOOKUP(A100,'📄 S1 Exam'!$A:$F,6,0),"")</f>
        <v>0</v>
      </c>
      <c r="J100" s="100" t="str">
        <f t="shared" si="2"/>
        <v>❌</v>
      </c>
      <c r="K100" s="100" t="str">
        <f t="shared" si="3"/>
        <v>❌ NOT YET</v>
      </c>
      <c r="L100" s="102">
        <f t="shared" si="4"/>
        <v>0.79500000000000004</v>
      </c>
      <c r="M100" s="100" t="str">
        <f t="shared" si="5"/>
        <v>Merit</v>
      </c>
      <c r="N100" s="96" t="str">
        <f t="shared" si="6"/>
        <v>Attendance incomplete.</v>
      </c>
    </row>
    <row r="101" spans="1:14" ht="18" customHeight="1">
      <c r="A101" s="138" t="s">
        <v>264</v>
      </c>
      <c r="B101" s="143" t="str">
        <f>IFERROR(VLOOKUP(A101,'👥 All Students'!$A:$C,2,0),"")</f>
        <v/>
      </c>
      <c r="C101" s="143" t="str">
        <f>IFERROR(VLOOKUP(A101,'👥 All Students'!$A:$C,3,0),"")</f>
        <v/>
      </c>
      <c r="D101" s="97">
        <f>IFERROR(VLOOKUP(A101,'📝 S1 Quiz'!$A:$L,12,0),"")</f>
        <v>36.5</v>
      </c>
      <c r="E101" s="98">
        <f>IFERROR(VLOOKUP(A101,'📄 S1 Exam'!$A:$D,4,0),"")</f>
        <v>47</v>
      </c>
      <c r="F101" s="99">
        <f t="shared" si="0"/>
        <v>83.5</v>
      </c>
      <c r="G101" s="109" t="str">
        <f t="shared" si="1"/>
        <v>✅</v>
      </c>
      <c r="H101" s="141" t="str">
        <f>IFERROR(VLOOKUP(A101,'📄 S1 Exam'!$A:$E,5,0),"")</f>
        <v>Attended</v>
      </c>
      <c r="I101" s="141">
        <f>IFERROR(VLOOKUP(A101,'📄 S1 Exam'!$A:$F,6,0),"")</f>
        <v>0</v>
      </c>
      <c r="J101" s="109" t="str">
        <f t="shared" si="2"/>
        <v>❌</v>
      </c>
      <c r="K101" s="109" t="str">
        <f t="shared" si="3"/>
        <v>❌ NOT YET</v>
      </c>
      <c r="L101" s="111">
        <f t="shared" si="4"/>
        <v>0.83499999999999996</v>
      </c>
      <c r="M101" s="109" t="str">
        <f t="shared" si="5"/>
        <v>Merit</v>
      </c>
      <c r="N101" s="105" t="str">
        <f t="shared" si="6"/>
        <v>Attendance incomplete.</v>
      </c>
    </row>
    <row r="102" spans="1:14" ht="18" customHeight="1">
      <c r="A102" s="138" t="s">
        <v>265</v>
      </c>
      <c r="B102" s="144" t="str">
        <f>IFERROR(VLOOKUP(A102,'👥 All Students'!$A:$C,2,0),"")</f>
        <v/>
      </c>
      <c r="C102" s="144" t="str">
        <f>IFERROR(VLOOKUP(A102,'👥 All Students'!$A:$C,3,0),"")</f>
        <v/>
      </c>
      <c r="D102" s="97">
        <f>IFERROR(VLOOKUP(A102,'📝 S1 Quiz'!$A:$L,12,0),"")</f>
        <v>34.5</v>
      </c>
      <c r="E102" s="98">
        <f>IFERROR(VLOOKUP(A102,'📄 S1 Exam'!$A:$D,4,0),"")</f>
        <v>50</v>
      </c>
      <c r="F102" s="99">
        <f t="shared" si="0"/>
        <v>84.5</v>
      </c>
      <c r="G102" s="100" t="str">
        <f t="shared" si="1"/>
        <v>✅</v>
      </c>
      <c r="H102" s="142" t="str">
        <f>IFERROR(VLOOKUP(A102,'📄 S1 Exam'!$A:$E,5,0),"")</f>
        <v>Attended</v>
      </c>
      <c r="I102" s="142">
        <f>IFERROR(VLOOKUP(A102,'📄 S1 Exam'!$A:$F,6,0),"")</f>
        <v>0</v>
      </c>
      <c r="J102" s="100" t="str">
        <f t="shared" si="2"/>
        <v>❌</v>
      </c>
      <c r="K102" s="100" t="str">
        <f t="shared" si="3"/>
        <v>❌ NOT YET</v>
      </c>
      <c r="L102" s="102">
        <f t="shared" si="4"/>
        <v>0.84499999999999997</v>
      </c>
      <c r="M102" s="100" t="str">
        <f t="shared" si="5"/>
        <v>Merit</v>
      </c>
      <c r="N102" s="96" t="str">
        <f t="shared" si="6"/>
        <v>Attendance incomplete.</v>
      </c>
    </row>
    <row r="103" spans="1:14" ht="18" customHeight="1">
      <c r="A103" s="138" t="s">
        <v>266</v>
      </c>
      <c r="B103" s="143" t="str">
        <f>IFERROR(VLOOKUP(A103,'👥 All Students'!$A:$C,2,0),"")</f>
        <v/>
      </c>
      <c r="C103" s="143" t="str">
        <f>IFERROR(VLOOKUP(A103,'👥 All Students'!$A:$C,3,0),"")</f>
        <v/>
      </c>
      <c r="D103" s="97">
        <f>IFERROR(VLOOKUP(A103,'📝 S1 Quiz'!$A:$L,12,0),"")</f>
        <v>35.5</v>
      </c>
      <c r="E103" s="98">
        <f>IFERROR(VLOOKUP(A103,'📄 S1 Exam'!$A:$D,4,0),"")</f>
        <v>51.5</v>
      </c>
      <c r="F103" s="99">
        <f t="shared" si="0"/>
        <v>87</v>
      </c>
      <c r="G103" s="109" t="str">
        <f t="shared" si="1"/>
        <v>✅</v>
      </c>
      <c r="H103" s="141" t="str">
        <f>IFERROR(VLOOKUP(A103,'📄 S1 Exam'!$A:$E,5,0),"")</f>
        <v>Attended</v>
      </c>
      <c r="I103" s="141">
        <f>IFERROR(VLOOKUP(A103,'📄 S1 Exam'!$A:$F,6,0),"")</f>
        <v>0</v>
      </c>
      <c r="J103" s="109" t="str">
        <f t="shared" si="2"/>
        <v>❌</v>
      </c>
      <c r="K103" s="109" t="str">
        <f t="shared" si="3"/>
        <v>❌ NOT YET</v>
      </c>
      <c r="L103" s="111">
        <f t="shared" si="4"/>
        <v>0.87</v>
      </c>
      <c r="M103" s="109" t="str">
        <f t="shared" si="5"/>
        <v>Merit</v>
      </c>
      <c r="N103" s="105" t="str">
        <f t="shared" si="6"/>
        <v>Attendance incomplete.</v>
      </c>
    </row>
    <row r="104" spans="1:14" ht="18" customHeight="1">
      <c r="A104" s="138" t="s">
        <v>267</v>
      </c>
      <c r="B104" s="144" t="str">
        <f>IFERROR(VLOOKUP(A104,'👥 All Students'!$A:$C,2,0),"")</f>
        <v/>
      </c>
      <c r="C104" s="144" t="str">
        <f>IFERROR(VLOOKUP(A104,'👥 All Students'!$A:$C,3,0),"")</f>
        <v/>
      </c>
      <c r="D104" s="97">
        <f>IFERROR(VLOOKUP(A104,'📝 S1 Quiz'!$A:$L,12,0),"")</f>
        <v>14</v>
      </c>
      <c r="E104" s="98">
        <f>IFERROR(VLOOKUP(A104,'📄 S1 Exam'!$A:$D,4,0),"")</f>
        <v>0</v>
      </c>
      <c r="F104" s="99">
        <f t="shared" si="0"/>
        <v>14</v>
      </c>
      <c r="G104" s="100" t="str">
        <f t="shared" si="1"/>
        <v>❌</v>
      </c>
      <c r="H104" s="142" t="str">
        <f>IFERROR(VLOOKUP(A104,'📄 S1 Exam'!$A:$E,5,0),"")</f>
        <v>Attended</v>
      </c>
      <c r="I104" s="142">
        <f>IFERROR(VLOOKUP(A104,'📄 S1 Exam'!$A:$F,6,0),"")</f>
        <v>0</v>
      </c>
      <c r="J104" s="100" t="str">
        <f t="shared" si="2"/>
        <v>❌</v>
      </c>
      <c r="K104" s="100" t="str">
        <f t="shared" si="3"/>
        <v>❌ NOT YET</v>
      </c>
      <c r="L104" s="102">
        <f t="shared" si="4"/>
        <v>0.14000000000000001</v>
      </c>
      <c r="M104" s="100" t="str">
        <f t="shared" si="5"/>
        <v>Below Pass</v>
      </c>
      <c r="N104" s="96" t="str">
        <f t="shared" si="6"/>
        <v>Score 14/100 — needs 50. Attendance incomplete.</v>
      </c>
    </row>
    <row r="105" spans="1:14" ht="18" customHeight="1">
      <c r="A105" s="138" t="s">
        <v>269</v>
      </c>
      <c r="B105" s="143" t="str">
        <f>IFERROR(VLOOKUP(A105,'👥 All Students'!$A:$C,2,0),"")</f>
        <v/>
      </c>
      <c r="C105" s="143" t="str">
        <f>IFERROR(VLOOKUP(A105,'👥 All Students'!$A:$C,3,0),"")</f>
        <v/>
      </c>
      <c r="D105" s="97">
        <f>IFERROR(VLOOKUP(A105,'📝 S1 Quiz'!$A:$L,12,0),"")</f>
        <v>32.5</v>
      </c>
      <c r="E105" s="98">
        <f>IFERROR(VLOOKUP(A105,'📄 S1 Exam'!$A:$D,4,0),"")</f>
        <v>42</v>
      </c>
      <c r="F105" s="99">
        <f t="shared" si="0"/>
        <v>74.5</v>
      </c>
      <c r="G105" s="109" t="str">
        <f t="shared" si="1"/>
        <v>✅</v>
      </c>
      <c r="H105" s="141" t="str">
        <f>IFERROR(VLOOKUP(A105,'📄 S1 Exam'!$A:$E,5,0),"")</f>
        <v>Attended</v>
      </c>
      <c r="I105" s="141">
        <f>IFERROR(VLOOKUP(A105,'📄 S1 Exam'!$A:$F,6,0),"")</f>
        <v>0</v>
      </c>
      <c r="J105" s="109" t="str">
        <f t="shared" si="2"/>
        <v>❌</v>
      </c>
      <c r="K105" s="109" t="str">
        <f t="shared" si="3"/>
        <v>❌ NOT YET</v>
      </c>
      <c r="L105" s="111">
        <f t="shared" si="4"/>
        <v>0.745</v>
      </c>
      <c r="M105" s="109" t="str">
        <f t="shared" si="5"/>
        <v>Pass</v>
      </c>
      <c r="N105" s="105" t="str">
        <f t="shared" si="6"/>
        <v>Attendance incomplete.</v>
      </c>
    </row>
    <row r="106" spans="1:14" ht="14.25" customHeight="1">
      <c r="A106" s="138" t="s">
        <v>270</v>
      </c>
      <c r="B106" s="143" t="str">
        <f>IFERROR(VLOOKUP(A106,'👥 All Students'!$A:$C,2,0),"")</f>
        <v/>
      </c>
      <c r="C106" s="143" t="str">
        <f>IFERROR(VLOOKUP(A106,'👥 All Students'!$A:$C,3,0),"")</f>
        <v/>
      </c>
      <c r="D106" s="97">
        <f>IFERROR(VLOOKUP(A106,'📝 S1 Quiz'!$A:$L,12,0),"")</f>
        <v>25.5</v>
      </c>
      <c r="E106" s="98">
        <f>IFERROR(VLOOKUP(A106,'📄 S1 Exam'!$A:$D,4,0),"")</f>
        <v>33</v>
      </c>
      <c r="F106" s="99">
        <f t="shared" si="0"/>
        <v>58.5</v>
      </c>
      <c r="G106" s="109" t="str">
        <f t="shared" si="1"/>
        <v>✅</v>
      </c>
      <c r="H106" s="141" t="str">
        <f>IFERROR(VLOOKUP(A106,'📄 S1 Exam'!$A:$E,5,0),"")</f>
        <v>Attended</v>
      </c>
      <c r="I106" s="141">
        <f>IFERROR(VLOOKUP(A106,'📄 S1 Exam'!$A:$F,6,0),"")</f>
        <v>0</v>
      </c>
      <c r="J106" s="109" t="str">
        <f t="shared" si="2"/>
        <v>❌</v>
      </c>
      <c r="K106" s="109" t="str">
        <f t="shared" si="3"/>
        <v>❌ NOT YET</v>
      </c>
      <c r="L106" s="111">
        <f t="shared" si="4"/>
        <v>0.58499999999999996</v>
      </c>
      <c r="M106" s="109" t="str">
        <f t="shared" si="5"/>
        <v>Pass</v>
      </c>
      <c r="N106" s="105" t="str">
        <f t="shared" si="6"/>
        <v>Attendance incomplete.</v>
      </c>
    </row>
    <row r="107" spans="1:14" ht="14.25" customHeight="1">
      <c r="A107" s="138" t="s">
        <v>271</v>
      </c>
      <c r="B107" s="143" t="str">
        <f>IFERROR(VLOOKUP(A107,'👥 All Students'!$A:$C,2,0),"")</f>
        <v/>
      </c>
      <c r="C107" s="143" t="str">
        <f>IFERROR(VLOOKUP(A107,'👥 All Students'!$A:$C,3,0),"")</f>
        <v/>
      </c>
      <c r="D107" s="97">
        <f>IFERROR(VLOOKUP(A107,'📝 S1 Quiz'!$A:$L,12,0),"")</f>
        <v>36.5</v>
      </c>
      <c r="E107" s="98">
        <f>IFERROR(VLOOKUP(A107,'📄 S1 Exam'!$A:$D,4,0),"")</f>
        <v>46.5</v>
      </c>
      <c r="F107" s="99">
        <f t="shared" si="0"/>
        <v>83</v>
      </c>
      <c r="G107" s="109" t="str">
        <f t="shared" si="1"/>
        <v>✅</v>
      </c>
      <c r="H107" s="141" t="str">
        <f>IFERROR(VLOOKUP(A107,'📄 S1 Exam'!$A:$E,5,0),"")</f>
        <v>Attended</v>
      </c>
      <c r="I107" s="141">
        <f>IFERROR(VLOOKUP(A107,'📄 S1 Exam'!$A:$F,6,0),"")</f>
        <v>0</v>
      </c>
      <c r="J107" s="109" t="str">
        <f t="shared" si="2"/>
        <v>❌</v>
      </c>
      <c r="K107" s="109" t="str">
        <f t="shared" si="3"/>
        <v>❌ NOT YET</v>
      </c>
      <c r="L107" s="111">
        <f t="shared" si="4"/>
        <v>0.83</v>
      </c>
      <c r="M107" s="109" t="str">
        <f t="shared" si="5"/>
        <v>Merit</v>
      </c>
      <c r="N107" s="105" t="str">
        <f t="shared" si="6"/>
        <v>Attendance incomplete.</v>
      </c>
    </row>
    <row r="108" spans="1:14" ht="14.25" customHeight="1">
      <c r="A108" s="138" t="s">
        <v>273</v>
      </c>
      <c r="B108" s="143" t="str">
        <f>IFERROR(VLOOKUP(A108,'👥 All Students'!$A:$C,2,0),"")</f>
        <v/>
      </c>
      <c r="C108" s="143" t="str">
        <f>IFERROR(VLOOKUP(A108,'👥 All Students'!$A:$C,3,0),"")</f>
        <v/>
      </c>
      <c r="D108" s="97" t="str">
        <f>IFERROR(VLOOKUP(A108,'📝 S1 Quiz'!$A:$L,12,0),"")</f>
        <v/>
      </c>
      <c r="E108" s="98" t="str">
        <f>IFERROR(VLOOKUP(A108,'📄 S1 Exam'!$A:$D,4,0),"")</f>
        <v/>
      </c>
      <c r="F108" s="99" t="str">
        <f t="shared" si="0"/>
        <v>—</v>
      </c>
      <c r="G108" s="109" t="str">
        <f t="shared" si="1"/>
        <v>—</v>
      </c>
      <c r="H108" s="141" t="str">
        <f>IFERROR(VLOOKUP(A108,'📄 S1 Exam'!$A:$E,5,0),"")</f>
        <v/>
      </c>
      <c r="I108" s="141" t="str">
        <f>IFERROR(VLOOKUP(A108,'📄 S1 Exam'!$A:$F,6,0),"")</f>
        <v/>
      </c>
      <c r="J108" s="109" t="str">
        <f t="shared" si="2"/>
        <v>❌</v>
      </c>
      <c r="K108" s="109" t="str">
        <f t="shared" si="3"/>
        <v>⏳ PENDING</v>
      </c>
      <c r="L108" s="111" t="str">
        <f t="shared" si="4"/>
        <v/>
      </c>
      <c r="M108" s="109" t="str">
        <f t="shared" si="5"/>
        <v/>
      </c>
      <c r="N108" s="105" t="str">
        <f t="shared" si="6"/>
        <v>Awaiting data</v>
      </c>
    </row>
    <row r="109" spans="1:14" ht="14.25" customHeight="1">
      <c r="A109" s="138" t="s">
        <v>274</v>
      </c>
      <c r="B109" s="143" t="str">
        <f>IFERROR(VLOOKUP(A109,'👥 All Students'!$A:$C,2,0),"")</f>
        <v/>
      </c>
      <c r="C109" s="143" t="str">
        <f>IFERROR(VLOOKUP(A109,'👥 All Students'!$A:$C,3,0),"")</f>
        <v/>
      </c>
      <c r="D109" s="97" t="str">
        <f>IFERROR(VLOOKUP(A109,'📝 S1 Quiz'!$A:$L,12,0),"")</f>
        <v/>
      </c>
      <c r="E109" s="98" t="str">
        <f>IFERROR(VLOOKUP(A109,'📄 S1 Exam'!$A:$D,4,0),"")</f>
        <v/>
      </c>
      <c r="F109" s="99" t="str">
        <f t="shared" si="0"/>
        <v>—</v>
      </c>
      <c r="G109" s="109" t="str">
        <f t="shared" si="1"/>
        <v>—</v>
      </c>
      <c r="H109" s="141" t="str">
        <f>IFERROR(VLOOKUP(A109,'📄 S1 Exam'!$A:$E,5,0),"")</f>
        <v/>
      </c>
      <c r="I109" s="141" t="str">
        <f>IFERROR(VLOOKUP(A109,'📄 S1 Exam'!$A:$F,6,0),"")</f>
        <v/>
      </c>
      <c r="J109" s="109" t="str">
        <f t="shared" si="2"/>
        <v>❌</v>
      </c>
      <c r="K109" s="109" t="str">
        <f t="shared" si="3"/>
        <v>⏳ PENDING</v>
      </c>
      <c r="L109" s="111" t="str">
        <f t="shared" si="4"/>
        <v/>
      </c>
      <c r="M109" s="109" t="str">
        <f t="shared" si="5"/>
        <v/>
      </c>
      <c r="N109" s="105" t="str">
        <f t="shared" si="6"/>
        <v>Awaiting data</v>
      </c>
    </row>
    <row r="110" spans="1:14" ht="14.25" customHeight="1">
      <c r="A110" s="138" t="s">
        <v>275</v>
      </c>
      <c r="B110" s="143" t="str">
        <f>IFERROR(VLOOKUP(A110,'👥 All Students'!$A:$C,2,0),"")</f>
        <v/>
      </c>
      <c r="C110" s="143" t="str">
        <f>IFERROR(VLOOKUP(A110,'👥 All Students'!$A:$C,3,0),"")</f>
        <v/>
      </c>
      <c r="D110" s="97" t="str">
        <f>IFERROR(VLOOKUP(A110,'📝 S1 Quiz'!$A:$L,12,0),"")</f>
        <v/>
      </c>
      <c r="E110" s="98" t="str">
        <f>IFERROR(VLOOKUP(A110,'📄 S1 Exam'!$A:$D,4,0),"")</f>
        <v/>
      </c>
      <c r="F110" s="99" t="str">
        <f t="shared" si="0"/>
        <v>—</v>
      </c>
      <c r="G110" s="109" t="str">
        <f t="shared" si="1"/>
        <v>—</v>
      </c>
      <c r="H110" s="141" t="str">
        <f>IFERROR(VLOOKUP(A110,'📄 S1 Exam'!$A:$E,5,0),"")</f>
        <v/>
      </c>
      <c r="I110" s="141" t="str">
        <f>IFERROR(VLOOKUP(A110,'📄 S1 Exam'!$A:$F,6,0),"")</f>
        <v/>
      </c>
      <c r="J110" s="109" t="str">
        <f t="shared" si="2"/>
        <v>❌</v>
      </c>
      <c r="K110" s="109" t="str">
        <f t="shared" si="3"/>
        <v>⏳ PENDING</v>
      </c>
      <c r="L110" s="111" t="str">
        <f t="shared" si="4"/>
        <v/>
      </c>
      <c r="M110" s="109" t="str">
        <f t="shared" si="5"/>
        <v/>
      </c>
      <c r="N110" s="105" t="str">
        <f t="shared" si="6"/>
        <v>Awaiting data</v>
      </c>
    </row>
    <row r="111" spans="1:14" ht="14.25" customHeight="1">
      <c r="A111" s="138" t="s">
        <v>276</v>
      </c>
      <c r="B111" s="143" t="str">
        <f>IFERROR(VLOOKUP(A111,'👥 All Students'!$A:$C,2,0),"")</f>
        <v/>
      </c>
      <c r="C111" s="143" t="str">
        <f>IFERROR(VLOOKUP(A111,'👥 All Students'!$A:$C,3,0),"")</f>
        <v/>
      </c>
      <c r="D111" s="97" t="str">
        <f>IFERROR(VLOOKUP(A111,'📝 S1 Quiz'!$A:$L,12,0),"")</f>
        <v/>
      </c>
      <c r="E111" s="98" t="str">
        <f>IFERROR(VLOOKUP(A111,'📄 S1 Exam'!$A:$D,4,0),"")</f>
        <v/>
      </c>
      <c r="F111" s="99" t="str">
        <f t="shared" si="0"/>
        <v>—</v>
      </c>
      <c r="G111" s="109" t="str">
        <f t="shared" si="1"/>
        <v>—</v>
      </c>
      <c r="H111" s="141" t="str">
        <f>IFERROR(VLOOKUP(A111,'📄 S1 Exam'!$A:$E,5,0),"")</f>
        <v/>
      </c>
      <c r="I111" s="141" t="str">
        <f>IFERROR(VLOOKUP(A111,'📄 S1 Exam'!$A:$F,6,0),"")</f>
        <v/>
      </c>
      <c r="J111" s="109" t="str">
        <f t="shared" si="2"/>
        <v>❌</v>
      </c>
      <c r="K111" s="109" t="str">
        <f t="shared" si="3"/>
        <v>⏳ PENDING</v>
      </c>
      <c r="L111" s="111" t="str">
        <f t="shared" si="4"/>
        <v/>
      </c>
      <c r="M111" s="109" t="str">
        <f t="shared" si="5"/>
        <v/>
      </c>
      <c r="N111" s="105" t="str">
        <f t="shared" si="6"/>
        <v>Awaiting data</v>
      </c>
    </row>
    <row r="112" spans="1:14" ht="14.25" customHeight="1">
      <c r="A112" s="138" t="s">
        <v>277</v>
      </c>
      <c r="B112" s="143" t="str">
        <f>IFERROR(VLOOKUP(A112,'👥 All Students'!$A:$C,2,0),"")</f>
        <v/>
      </c>
      <c r="C112" s="143" t="str">
        <f>IFERROR(VLOOKUP(A112,'👥 All Students'!$A:$C,3,0),"")</f>
        <v/>
      </c>
      <c r="D112" s="97" t="str">
        <f>IFERROR(VLOOKUP(A112,'📝 S1 Quiz'!$A:$L,12,0),"")</f>
        <v/>
      </c>
      <c r="E112" s="98" t="str">
        <f>IFERROR(VLOOKUP(A112,'📄 S1 Exam'!$A:$D,4,0),"")</f>
        <v/>
      </c>
      <c r="F112" s="99" t="str">
        <f t="shared" si="0"/>
        <v>—</v>
      </c>
      <c r="G112" s="109" t="str">
        <f t="shared" si="1"/>
        <v>—</v>
      </c>
      <c r="H112" s="141" t="str">
        <f>IFERROR(VLOOKUP(A112,'📄 S1 Exam'!$A:$E,5,0),"")</f>
        <v/>
      </c>
      <c r="I112" s="141" t="str">
        <f>IFERROR(VLOOKUP(A112,'📄 S1 Exam'!$A:$F,6,0),"")</f>
        <v/>
      </c>
      <c r="J112" s="109" t="str">
        <f t="shared" si="2"/>
        <v>❌</v>
      </c>
      <c r="K112" s="109" t="str">
        <f t="shared" si="3"/>
        <v>⏳ PENDING</v>
      </c>
      <c r="L112" s="111" t="str">
        <f t="shared" si="4"/>
        <v/>
      </c>
      <c r="M112" s="109" t="str">
        <f t="shared" si="5"/>
        <v/>
      </c>
      <c r="N112" s="105" t="str">
        <f t="shared" si="6"/>
        <v>Awaiting data</v>
      </c>
    </row>
    <row r="113" spans="1:14" ht="14.25" customHeight="1">
      <c r="A113" s="138" t="s">
        <v>278</v>
      </c>
      <c r="B113" s="143" t="str">
        <f>IFERROR(VLOOKUP(A113,'👥 All Students'!$A:$C,2,0),"")</f>
        <v/>
      </c>
      <c r="C113" s="143" t="str">
        <f>IFERROR(VLOOKUP(A113,'👥 All Students'!$A:$C,3,0),"")</f>
        <v/>
      </c>
      <c r="D113" s="97" t="str">
        <f>IFERROR(VLOOKUP(A113,'📝 S1 Quiz'!$A:$L,12,0),"")</f>
        <v/>
      </c>
      <c r="E113" s="98" t="str">
        <f>IFERROR(VLOOKUP(A113,'📄 S1 Exam'!$A:$D,4,0),"")</f>
        <v/>
      </c>
      <c r="F113" s="99" t="str">
        <f t="shared" si="0"/>
        <v>—</v>
      </c>
      <c r="G113" s="109" t="str">
        <f t="shared" si="1"/>
        <v>—</v>
      </c>
      <c r="H113" s="141" t="str">
        <f>IFERROR(VLOOKUP(A113,'📄 S1 Exam'!$A:$E,5,0),"")</f>
        <v/>
      </c>
      <c r="I113" s="141" t="str">
        <f>IFERROR(VLOOKUP(A113,'📄 S1 Exam'!$A:$F,6,0),"")</f>
        <v/>
      </c>
      <c r="J113" s="109" t="str">
        <f t="shared" si="2"/>
        <v>❌</v>
      </c>
      <c r="K113" s="109" t="str">
        <f t="shared" si="3"/>
        <v>⏳ PENDING</v>
      </c>
      <c r="L113" s="111" t="str">
        <f t="shared" si="4"/>
        <v/>
      </c>
      <c r="M113" s="109" t="str">
        <f t="shared" si="5"/>
        <v/>
      </c>
      <c r="N113" s="105" t="str">
        <f t="shared" si="6"/>
        <v>Awaiting data</v>
      </c>
    </row>
    <row r="114" spans="1:14" ht="14.25" customHeight="1">
      <c r="A114" s="138" t="s">
        <v>279</v>
      </c>
      <c r="B114" s="105" t="str">
        <f>IFERROR(VLOOKUP(A114,'👥 All Students'!$A:$C,2,0),"")</f>
        <v/>
      </c>
      <c r="C114" s="105" t="str">
        <f>IFERROR(VLOOKUP(A114,'👥 All Students'!$A:$C,3,0),"")</f>
        <v/>
      </c>
      <c r="D114" s="97" t="str">
        <f>IFERROR(VLOOKUP(A114,'📝 S1 Quiz'!$A:$L,12,0),"")</f>
        <v/>
      </c>
      <c r="E114" s="98" t="str">
        <f>IFERROR(VLOOKUP(A114,'📄 S1 Exam'!$A:$D,4,0),"")</f>
        <v/>
      </c>
      <c r="F114" s="99" t="str">
        <f t="shared" si="0"/>
        <v>—</v>
      </c>
      <c r="G114" s="109" t="str">
        <f t="shared" si="1"/>
        <v>—</v>
      </c>
      <c r="H114" s="141" t="str">
        <f>IFERROR(VLOOKUP(A114,'📄 S1 Exam'!$A:$E,5,0),"")</f>
        <v/>
      </c>
      <c r="I114" s="141" t="str">
        <f>IFERROR(VLOOKUP(A114,'📄 S1 Exam'!$A:$F,6,0),"")</f>
        <v/>
      </c>
      <c r="J114" s="109" t="str">
        <f t="shared" si="2"/>
        <v>❌</v>
      </c>
      <c r="K114" s="109" t="str">
        <f t="shared" si="3"/>
        <v>⏳ PENDING</v>
      </c>
      <c r="L114" s="111" t="str">
        <f t="shared" si="4"/>
        <v/>
      </c>
      <c r="M114" s="109" t="str">
        <f t="shared" si="5"/>
        <v/>
      </c>
      <c r="N114" s="105" t="str">
        <f t="shared" si="6"/>
        <v>Awaiting data</v>
      </c>
    </row>
    <row r="115" spans="1:14" ht="14.25" customHeight="1">
      <c r="A115" s="138" t="s">
        <v>280</v>
      </c>
      <c r="B115" s="105" t="str">
        <f>IFERROR(VLOOKUP(A115,'👥 All Students'!$A:$C,2,0),"")</f>
        <v/>
      </c>
      <c r="C115" s="105" t="str">
        <f>IFERROR(VLOOKUP(A115,'👥 All Students'!$A:$C,3,0),"")</f>
        <v/>
      </c>
      <c r="D115" s="97" t="str">
        <f>IFERROR(VLOOKUP(A115,'📝 S1 Quiz'!$A:$L,12,0),"")</f>
        <v/>
      </c>
      <c r="E115" s="98" t="str">
        <f>IFERROR(VLOOKUP(A115,'📄 S1 Exam'!$A:$D,4,0),"")</f>
        <v/>
      </c>
      <c r="F115" s="99" t="str">
        <f t="shared" si="0"/>
        <v>—</v>
      </c>
      <c r="G115" s="109" t="str">
        <f t="shared" si="1"/>
        <v>—</v>
      </c>
      <c r="H115" s="141" t="str">
        <f>IFERROR(VLOOKUP(A115,'📄 S1 Exam'!$A:$E,5,0),"")</f>
        <v/>
      </c>
      <c r="I115" s="141" t="str">
        <f>IFERROR(VLOOKUP(A115,'📄 S1 Exam'!$A:$F,6,0),"")</f>
        <v/>
      </c>
      <c r="J115" s="109" t="str">
        <f t="shared" si="2"/>
        <v>❌</v>
      </c>
      <c r="K115" s="109" t="str">
        <f t="shared" si="3"/>
        <v>⏳ PENDING</v>
      </c>
      <c r="L115" s="111" t="str">
        <f t="shared" si="4"/>
        <v/>
      </c>
      <c r="M115" s="109" t="str">
        <f t="shared" si="5"/>
        <v/>
      </c>
      <c r="N115" s="105" t="str">
        <f t="shared" si="6"/>
        <v>Awaiting data</v>
      </c>
    </row>
    <row r="116" spans="1:14" ht="14.25" customHeight="1">
      <c r="A116" s="138" t="s">
        <v>281</v>
      </c>
      <c r="B116" s="105" t="str">
        <f>IFERROR(VLOOKUP(A116,'👥 All Students'!$A:$C,2,0),"")</f>
        <v/>
      </c>
      <c r="C116" s="105" t="str">
        <f>IFERROR(VLOOKUP(A116,'👥 All Students'!$A:$C,3,0),"")</f>
        <v/>
      </c>
      <c r="D116" s="97" t="str">
        <f>IFERROR(VLOOKUP(A116,'📝 S1 Quiz'!$A:$L,12,0),"")</f>
        <v/>
      </c>
      <c r="E116" s="98" t="str">
        <f>IFERROR(VLOOKUP(A116,'📄 S1 Exam'!$A:$D,4,0),"")</f>
        <v/>
      </c>
      <c r="F116" s="99" t="str">
        <f t="shared" si="0"/>
        <v>—</v>
      </c>
      <c r="G116" s="109" t="str">
        <f t="shared" si="1"/>
        <v>—</v>
      </c>
      <c r="H116" s="141" t="str">
        <f>IFERROR(VLOOKUP(A116,'📄 S1 Exam'!$A:$E,5,0),"")</f>
        <v/>
      </c>
      <c r="I116" s="141" t="str">
        <f>IFERROR(VLOOKUP(A116,'📄 S1 Exam'!$A:$F,6,0),"")</f>
        <v/>
      </c>
      <c r="J116" s="109" t="str">
        <f t="shared" si="2"/>
        <v>❌</v>
      </c>
      <c r="K116" s="109" t="str">
        <f t="shared" si="3"/>
        <v>⏳ PENDING</v>
      </c>
      <c r="L116" s="111" t="str">
        <f t="shared" si="4"/>
        <v/>
      </c>
      <c r="M116" s="109" t="str">
        <f t="shared" si="5"/>
        <v/>
      </c>
      <c r="N116" s="105" t="str">
        <f t="shared" si="6"/>
        <v>Awaiting data</v>
      </c>
    </row>
    <row r="117" spans="1:14" ht="14.25" customHeight="1">
      <c r="A117" s="138" t="s">
        <v>282</v>
      </c>
      <c r="B117" s="105" t="str">
        <f>IFERROR(VLOOKUP(A117,'👥 All Students'!$A:$C,2,0),"")</f>
        <v/>
      </c>
      <c r="C117" s="105" t="str">
        <f>IFERROR(VLOOKUP(A117,'👥 All Students'!$A:$C,3,0),"")</f>
        <v/>
      </c>
      <c r="D117" s="97" t="str">
        <f>IFERROR(VLOOKUP(A117,'📝 S1 Quiz'!$A:$L,12,0),"")</f>
        <v/>
      </c>
      <c r="E117" s="98" t="str">
        <f>IFERROR(VLOOKUP(A117,'📄 S1 Exam'!$A:$D,4,0),"")</f>
        <v/>
      </c>
      <c r="F117" s="99" t="str">
        <f t="shared" si="0"/>
        <v>—</v>
      </c>
      <c r="G117" s="109" t="str">
        <f t="shared" si="1"/>
        <v>—</v>
      </c>
      <c r="H117" s="141" t="str">
        <f>IFERROR(VLOOKUP(A117,'📄 S1 Exam'!$A:$E,5,0),"")</f>
        <v/>
      </c>
      <c r="I117" s="141" t="str">
        <f>IFERROR(VLOOKUP(A117,'📄 S1 Exam'!$A:$F,6,0),"")</f>
        <v/>
      </c>
      <c r="J117" s="109" t="str">
        <f t="shared" si="2"/>
        <v>❌</v>
      </c>
      <c r="K117" s="109" t="str">
        <f t="shared" si="3"/>
        <v>⏳ PENDING</v>
      </c>
      <c r="L117" s="111" t="str">
        <f t="shared" si="4"/>
        <v/>
      </c>
      <c r="M117" s="109" t="str">
        <f t="shared" si="5"/>
        <v/>
      </c>
      <c r="N117" s="105" t="str">
        <f t="shared" si="6"/>
        <v>Awaiting data</v>
      </c>
    </row>
    <row r="118" spans="1:14" ht="14.25" customHeight="1">
      <c r="A118" s="138" t="s">
        <v>283</v>
      </c>
      <c r="B118" s="105" t="str">
        <f>IFERROR(VLOOKUP(A118,'👥 All Students'!$A:$C,2,0),"")</f>
        <v/>
      </c>
      <c r="C118" s="105" t="str">
        <f>IFERROR(VLOOKUP(A118,'👥 All Students'!$A:$C,3,0),"")</f>
        <v/>
      </c>
      <c r="D118" s="97" t="str">
        <f>IFERROR(VLOOKUP(A118,'📝 S1 Quiz'!$A:$L,12,0),"")</f>
        <v/>
      </c>
      <c r="E118" s="98" t="str">
        <f>IFERROR(VLOOKUP(A118,'📄 S1 Exam'!$A:$D,4,0),"")</f>
        <v/>
      </c>
      <c r="F118" s="99" t="str">
        <f t="shared" si="0"/>
        <v>—</v>
      </c>
      <c r="G118" s="109" t="str">
        <f t="shared" si="1"/>
        <v>—</v>
      </c>
      <c r="H118" s="141" t="str">
        <f>IFERROR(VLOOKUP(A118,'📄 S1 Exam'!$A:$E,5,0),"")</f>
        <v/>
      </c>
      <c r="I118" s="141" t="str">
        <f>IFERROR(VLOOKUP(A118,'📄 S1 Exam'!$A:$F,6,0),"")</f>
        <v/>
      </c>
      <c r="J118" s="109" t="str">
        <f t="shared" si="2"/>
        <v>❌</v>
      </c>
      <c r="K118" s="109" t="str">
        <f t="shared" si="3"/>
        <v>⏳ PENDING</v>
      </c>
      <c r="L118" s="111" t="str">
        <f t="shared" si="4"/>
        <v/>
      </c>
      <c r="M118" s="109" t="str">
        <f t="shared" si="5"/>
        <v/>
      </c>
      <c r="N118" s="105" t="str">
        <f t="shared" si="6"/>
        <v>Awaiting data</v>
      </c>
    </row>
    <row r="119" spans="1:14" ht="14.25" customHeight="1"/>
    <row r="120" spans="1:14" ht="14.25" customHeight="1"/>
    <row r="121" spans="1:14" ht="14.25" customHeight="1"/>
    <row r="122" spans="1:14" ht="14.25" customHeight="1"/>
    <row r="123" spans="1:14" ht="14.25" customHeight="1"/>
    <row r="124" spans="1:14" ht="14.25" customHeight="1"/>
    <row r="125" spans="1:14" ht="14.25" customHeight="1"/>
    <row r="126" spans="1:14" ht="14.25" customHeight="1"/>
    <row r="127" spans="1:14" ht="14.25" customHeight="1"/>
    <row r="128" spans="1:14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N1"/>
    <mergeCell ref="A2:N2"/>
    <mergeCell ref="A3:N3"/>
  </mergeCells>
  <conditionalFormatting sqref="K6:K118">
    <cfRule type="cellIs" dxfId="8" priority="1" operator="equal">
      <formula>"✅ GRADUATE"</formula>
    </cfRule>
  </conditionalFormatting>
  <conditionalFormatting sqref="K6:K118">
    <cfRule type="cellIs" dxfId="7" priority="2" operator="equal">
      <formula>"❌ NOT YET"</formula>
    </cfRule>
  </conditionalFormatting>
  <conditionalFormatting sqref="K6:K118">
    <cfRule type="cellIs" dxfId="6" priority="3" operator="equal">
      <formula>"⏳ PENDING"</formula>
    </cfRule>
  </conditionalFormatting>
  <conditionalFormatting sqref="G6:G118">
    <cfRule type="cellIs" dxfId="5" priority="4" operator="equal">
      <formula>"✅"</formula>
    </cfRule>
  </conditionalFormatting>
  <conditionalFormatting sqref="G6:G118">
    <cfRule type="cellIs" dxfId="4" priority="5" operator="equal">
      <formula>"❌"</formula>
    </cfRule>
  </conditionalFormatting>
  <conditionalFormatting sqref="J6:J118">
    <cfRule type="cellIs" dxfId="3" priority="6" operator="equal">
      <formula>"✅"</formula>
    </cfRule>
  </conditionalFormatting>
  <conditionalFormatting sqref="J6:J118">
    <cfRule type="cellIs" dxfId="2" priority="7" operator="equal">
      <formula>"❌"</formula>
    </cfRule>
  </conditionalFormatting>
  <conditionalFormatting sqref="F6:F118">
    <cfRule type="colorScale" priority="8">
      <colorScale>
        <cfvo type="formula" val="0"/>
        <cfvo type="formula" val="50"/>
        <cfvo type="formula" val="100"/>
        <color rgb="FFFF4444"/>
        <color rgb="FFFFFF00"/>
        <color rgb="FF00B050"/>
      </colorScale>
    </cfRule>
  </conditionalFormatting>
  <conditionalFormatting sqref="M6:M118">
    <cfRule type="cellIs" dxfId="1" priority="9" operator="equal">
      <formula>"Distinction"</formula>
    </cfRule>
  </conditionalFormatting>
  <conditionalFormatting sqref="M6:M118">
    <cfRule type="cellIs" dxfId="0" priority="10" operator="equal">
      <formula>"Merit"</formula>
    </cfRule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⚙️ Semester Setup</vt:lpstr>
      <vt:lpstr>🔍 Student Lookup</vt:lpstr>
      <vt:lpstr>👥 All Students</vt:lpstr>
      <vt:lpstr>📝 S1 Quiz</vt:lpstr>
      <vt:lpstr>📄 S1 Exam</vt:lpstr>
      <vt:lpstr>🎓 S1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ces2026</dc:creator>
  <cp:lastModifiedBy>Deborah Adesina</cp:lastModifiedBy>
  <dcterms:created xsi:type="dcterms:W3CDTF">2026-06-12T05:20:48Z</dcterms:created>
  <dcterms:modified xsi:type="dcterms:W3CDTF">2026-09-08T20:29:04Z</dcterms:modified>
</cp:coreProperties>
</file>